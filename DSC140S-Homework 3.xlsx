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hidePivotFieldList="1"/>
  <mc:AlternateContent xmlns:mc="http://schemas.openxmlformats.org/markup-compatibility/2006">
    <mc:Choice Requires="x15">
      <x15ac:absPath xmlns:x15ac="http://schemas.microsoft.com/office/spreadsheetml/2010/11/ac" url="https://mountunion-my.sharepoint.com/personal/beckerer2021_mountunion_edu/Documents/"/>
    </mc:Choice>
  </mc:AlternateContent>
  <xr:revisionPtr revIDLastSave="449" documentId="8_{8A347929-3ADA-3E43-9A6C-0DA871829D69}" xr6:coauthVersionLast="47" xr6:coauthVersionMax="47" xr10:uidLastSave="{D4592EB3-46AC-0541-BB1F-E3434FD0B0FD}"/>
  <bookViews>
    <workbookView xWindow="0" yWindow="0" windowWidth="28800" windowHeight="18000" activeTab="1" xr2:uid="{00000000-000D-0000-FFFF-FFFF00000000}"/>
  </bookViews>
  <sheets>
    <sheet name="Conceptual Questions 2 and 6" sheetId="3" r:id="rId1"/>
    <sheet name="Homework Problem 3-1" sheetId="4" r:id="rId2"/>
    <sheet name="Homework Problem 3-2" sheetId="2" r:id="rId3"/>
    <sheet name="My Data (Analysis on Side)" sheetId="7" r:id="rId4"/>
  </sheets>
  <calcPr calcId="191029"/>
  <pivotCaches>
    <pivotCache cacheId="3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4" l="1"/>
  <c r="H8" i="4"/>
  <c r="I6" i="4"/>
  <c r="H6" i="4"/>
  <c r="G6" i="4"/>
  <c r="I3" i="4"/>
  <c r="H3" i="4"/>
  <c r="G3" i="4"/>
  <c r="H1" i="4"/>
  <c r="E8" i="2"/>
  <c r="J4" i="2"/>
  <c r="I4" i="2"/>
  <c r="H4" i="2"/>
  <c r="F4" i="2"/>
  <c r="E4" i="2"/>
  <c r="G4" i="2"/>
  <c r="D4" i="2"/>
</calcChain>
</file>

<file path=xl/sharedStrings.xml><?xml version="1.0" encoding="utf-8"?>
<sst xmlns="http://schemas.openxmlformats.org/spreadsheetml/2006/main" count="3121" uniqueCount="832">
  <si>
    <t>Measure of centrality calculate where the "center" of a frequency distribution lies. The most commonly used measures of centrality are mean, median, and mode. The mean of data is used to measure the central tendency of continuous data or discrete data. This is also often called the average. The median measures the middle score for a dataset that has been sorted by the values of the data. Finally, the mode shows the most frequently occuring value in a dataset.</t>
  </si>
  <si>
    <t>2. Name three measures of centrality and decribe how they differ.</t>
  </si>
  <si>
    <t>One difference is that a correlation does not provide any indication of how one variable can be predicted from another (due to its limitations), but a regression analysis will provide this information. Another difference is that correlations are considered a diagnosic or causal analysis (analysis used for discovery or to determine why something happened), but a regression is considered a mechanistic analysis (which involves understanding the exact changes in variables that lead to changes in other variables for individual objects.</t>
  </si>
  <si>
    <t>6. List two differences between correlation analysis and regressive analysis.</t>
  </si>
  <si>
    <t>Cover</t>
  </si>
  <si>
    <t>Hb</t>
  </si>
  <si>
    <t>Pb</t>
  </si>
  <si>
    <t>Volume (cm^3)</t>
  </si>
  <si>
    <t>Area (cm^2)</t>
  </si>
  <si>
    <t>Weight (grams)</t>
  </si>
  <si>
    <t>Column Labels</t>
  </si>
  <si>
    <t>Grand Total</t>
  </si>
  <si>
    <t>Median of the book covers</t>
  </si>
  <si>
    <t>Mean of the book weights</t>
  </si>
  <si>
    <t>X (List Price)</t>
  </si>
  <si>
    <t>Y (Best Price Values)</t>
  </si>
  <si>
    <t>All in units of $1000</t>
  </si>
  <si>
    <t>Correlation</t>
  </si>
  <si>
    <t>STDEV X</t>
  </si>
  <si>
    <t>STDEV Y</t>
  </si>
  <si>
    <t>Mean X</t>
  </si>
  <si>
    <t>Mean Y</t>
  </si>
  <si>
    <t>B0</t>
  </si>
  <si>
    <t>Slope (B1)</t>
  </si>
  <si>
    <t>Regression Calculations</t>
  </si>
  <si>
    <t>List Price</t>
  </si>
  <si>
    <t>Best Price</t>
  </si>
  <si>
    <t>Pickup Data</t>
  </si>
  <si>
    <t>Regression Linear Relationship</t>
  </si>
  <si>
    <t>y=1.17x-5.16</t>
  </si>
  <si>
    <t>Above, I calculated the correlation score for this data by using the correlation function, "=CORREL," and selected the data from columns A and B. This correlation score shows a strong positive correlation in this data. Additionally, I performed a regression analysis by following the steps in the book shown on pages 88 and 89. To do this, I found the standard deviation of x and y by using the "=STDEV," function. Then, I used these values to calculate B1, or the slope. Next, I calculated the mean of x and y to find B0, or the intercept. This was done using the "=AVERAGE," function and using the perviously calculated slope value. I was then able to use these values from the regression linear equation to determine the best price of a pickup being listed at 25.2 in $1000s. This was done using that equation in the Excel formula bar and it showed that a pickup listed a this price actually has a best price of 24.4 in $1000s.</t>
  </si>
  <si>
    <t>taylor_discography</t>
  </si>
  <si>
    <t>track_name</t>
  </si>
  <si>
    <t>track_id</t>
  </si>
  <si>
    <t>duration_ms</t>
  </si>
  <si>
    <t>explicit</t>
  </si>
  <si>
    <t>track_number</t>
  </si>
  <si>
    <t>album_id</t>
  </si>
  <si>
    <t>album_name</t>
  </si>
  <si>
    <t>album_release_date</t>
  </si>
  <si>
    <t>album_total_tracks</t>
  </si>
  <si>
    <t>album_type</t>
  </si>
  <si>
    <t>artist_name</t>
  </si>
  <si>
    <t>artist_id</t>
  </si>
  <si>
    <t>danceability</t>
  </si>
  <si>
    <t>energy</t>
  </si>
  <si>
    <t>loudness</t>
  </si>
  <si>
    <t>speechiness</t>
  </si>
  <si>
    <t>acousticness</t>
  </si>
  <si>
    <t>instrumentalness</t>
  </si>
  <si>
    <t>liveness</t>
  </si>
  <si>
    <t>valence</t>
  </si>
  <si>
    <t>Fortnight (feat. Post Malone)</t>
  </si>
  <si>
    <t>6dODwocEuGzHAavXqTbwHv</t>
  </si>
  <si>
    <t>5H7ixXZfsNMGbIE5OBSpcb</t>
  </si>
  <si>
    <t>THE TORTURED POETS DEPARTMENT: THE ANTHOLOGY</t>
  </si>
  <si>
    <t>album</t>
  </si>
  <si>
    <t>Taylor Swift</t>
  </si>
  <si>
    <t>06HL4z0CvFAxyc27GXpf02</t>
  </si>
  <si>
    <t>The Tortured Poets Department</t>
  </si>
  <si>
    <t>4PdLaGZubp4lghChqp8erB</t>
  </si>
  <si>
    <t>My Boy Only Breaks His Favorite Toys</t>
  </si>
  <si>
    <t>7uGYWMwRy24dm7RUDDhUlD</t>
  </si>
  <si>
    <t>Down Bad</t>
  </si>
  <si>
    <t>1kbEbBdEgQdQeLXCJh28pJ</t>
  </si>
  <si>
    <t>So Long, London</t>
  </si>
  <si>
    <t>7wAkQFShJ27V8362MqevQr</t>
  </si>
  <si>
    <t>But Daddy I Love Him</t>
  </si>
  <si>
    <t>4QMgEffJQuKtjCNvqfRZ0m</t>
  </si>
  <si>
    <t>Fresh Out The Slammer</t>
  </si>
  <si>
    <t>7IWcDWOfiooH5hRs9XOVYz</t>
  </si>
  <si>
    <t>Florida!!! (feat. Florence + The Machine)</t>
  </si>
  <si>
    <t>5ExOm0dh4NyRyAdSAO9hyM</t>
  </si>
  <si>
    <t>Guilty as Sin?</t>
  </si>
  <si>
    <t>799KrpEbhZp0MHeiA8YK9P</t>
  </si>
  <si>
    <t>Who’s Afraid of Little Old Me?</t>
  </si>
  <si>
    <t>2d8UxVNhJinc8uat9PoM9y</t>
  </si>
  <si>
    <t>I Can Fix Him (No Really I Can)</t>
  </si>
  <si>
    <t>5chnRTB9qMK3W1M41SnU9s</t>
  </si>
  <si>
    <t>loml</t>
  </si>
  <si>
    <t>3YkNIrAvbKNrrwwEd7NVLl</t>
  </si>
  <si>
    <t>I Can Do It With a Broken Heart</t>
  </si>
  <si>
    <t>2fPvQfGQEZOKtJ9qXeL4x8</t>
  </si>
  <si>
    <t>The Smallest Man Who Ever Lived</t>
  </si>
  <si>
    <t>1xtw1krCR6Dw2KwkXw5z63</t>
  </si>
  <si>
    <t>The Alchemy</t>
  </si>
  <si>
    <t>1tuNqJOtRQVHvONR8Lg3MZ</t>
  </si>
  <si>
    <t>Clara Bow</t>
  </si>
  <si>
    <t>4d9PtIEVij9jW5OaLinH66</t>
  </si>
  <si>
    <t>The Black Dog</t>
  </si>
  <si>
    <t>62E2nR0od0M5HYxuYLaDz7</t>
  </si>
  <si>
    <t>imgonnagetyouback</t>
  </si>
  <si>
    <t>1kcwpPDQnqEqmezzXdJTCP</t>
  </si>
  <si>
    <t>The Albatross</t>
  </si>
  <si>
    <t>4EF6IyONolQy0bIQXm2EmX</t>
  </si>
  <si>
    <t>Chloe or Sam or Sophia or Marcus</t>
  </si>
  <si>
    <t>1rmEsOezwf2lmIZTMAO5Ag</t>
  </si>
  <si>
    <t>How Did It End?</t>
  </si>
  <si>
    <t>5Bedn0svl0ZD7RGmJkmKKw</t>
  </si>
  <si>
    <t>So High School</t>
  </si>
  <si>
    <t>7Mts0OfPorF4iwOomvfqn1</t>
  </si>
  <si>
    <t>I Hate It Here</t>
  </si>
  <si>
    <t>3hlGuz3loYoLfI3bpwieWq</t>
  </si>
  <si>
    <t>thanK you aIMee</t>
  </si>
  <si>
    <t>7ogK4lJDVDMU6A6vYR5rvD</t>
  </si>
  <si>
    <t>I Look in People's Windows</t>
  </si>
  <si>
    <t>1Zai5UJ2di3qEuR2HeT2s8</t>
  </si>
  <si>
    <t>The Prophecy</t>
  </si>
  <si>
    <t>18WFFUIsewmA8g31KAeo3e</t>
  </si>
  <si>
    <t>Cassandra</t>
  </si>
  <si>
    <t>0g4fMVo4JjwnIpTfFfLdxS</t>
  </si>
  <si>
    <t>Peter</t>
  </si>
  <si>
    <t>3zMDGj4D8ogaYgAIZPeU7S</t>
  </si>
  <si>
    <t>The Bolter</t>
  </si>
  <si>
    <t>2913xXOVAIDAqxzV2g4VcU</t>
  </si>
  <si>
    <t>Robin</t>
  </si>
  <si>
    <t>2CnjDMdpRjlWv04Xk3s6MW</t>
  </si>
  <si>
    <t>The Manuscript</t>
  </si>
  <si>
    <t>1DTRUYVd8rYpla9hhVVwjo</t>
  </si>
  <si>
    <t>2OzhQlSqBEmt7hmkYxfT6m</t>
  </si>
  <si>
    <t>1Mo4aZ8pdj6L1jx8zSwJnt</t>
  </si>
  <si>
    <t>THE TORTURED POETS DEPARTMENT</t>
  </si>
  <si>
    <t>3NMrVbIVWT3fPXBj0rNDKG</t>
  </si>
  <si>
    <t>2XXwLdtuAcE0HSCu61ijAb</t>
  </si>
  <si>
    <t>2F3N9tdombb64aW6VtZOdo</t>
  </si>
  <si>
    <t>3Vevii7qKqrmW8CcyzBHDl</t>
  </si>
  <si>
    <t>5og4Qzt92jJzVDkOtSEilb</t>
  </si>
  <si>
    <t>3fO566xJgwxIa3qGCGBvIC</t>
  </si>
  <si>
    <t>3ZVFcD8Wlw9T9klGqmJf9F</t>
  </si>
  <si>
    <t>0W0iAC1VGlB82PI6elxFYf</t>
  </si>
  <si>
    <t>36t6frENUtCYKuZus6aYDO</t>
  </si>
  <si>
    <t>2h3MDMf8sd9s4XIzpTBIjX</t>
  </si>
  <si>
    <t>6RSG1dKPV5gEvILwJb4QtS</t>
  </si>
  <si>
    <t>4q5YezDOIPcoLr8R81x9qy</t>
  </si>
  <si>
    <t>2v1ivOOsgn64g5OywuH55L</t>
  </si>
  <si>
    <t>1dhMTsEZz6ZEquGvmzVoHn</t>
  </si>
  <si>
    <t>1UlhrRvYzbHEyugEDspXUB</t>
  </si>
  <si>
    <t>Welcome To New York (Taylor's Version)</t>
  </si>
  <si>
    <t>4WUepByoeqcedHoYhSNHRt</t>
  </si>
  <si>
    <t>1o59UpKw81iHR0HPiSkJR0</t>
  </si>
  <si>
    <t>1989 (Taylor's Version) [Deluxe]</t>
  </si>
  <si>
    <t>Blank Space (Taylor's Version)</t>
  </si>
  <si>
    <t>0108kcWLnn2HlH2kedi1gn</t>
  </si>
  <si>
    <t>Style (Taylor's Version)</t>
  </si>
  <si>
    <t>3Vpk1hfMAQme8VJ0SNRSkd</t>
  </si>
  <si>
    <t>Out Of The Woods (Taylor's Version)</t>
  </si>
  <si>
    <t>1OcSfkeCg9hRC2sFKB4IMJ</t>
  </si>
  <si>
    <t>All You Had To Do Was Stay (Taylor's Version)</t>
  </si>
  <si>
    <t>2k0ZEeAqzvYMcx9Qt5aClQ</t>
  </si>
  <si>
    <t>Shake It Off (Taylor's Version)</t>
  </si>
  <si>
    <t>50yNTF0Od55qnHLxYsA5Pw</t>
  </si>
  <si>
    <t>I Wish You Would (Taylor's Version)</t>
  </si>
  <si>
    <t>3FxJDucHWdw6caWTKO5b23</t>
  </si>
  <si>
    <t>Bad Blood (Taylor's Version)</t>
  </si>
  <si>
    <t>7oZONwFiFIErZcXAtTu7FY</t>
  </si>
  <si>
    <t>Wildest Dreams (Taylor's Version)</t>
  </si>
  <si>
    <t>27exgla7YBw9DUNNcTIpjy</t>
  </si>
  <si>
    <t>How You Get The Girl (Taylor's Version)</t>
  </si>
  <si>
    <t>733OhaXQIHY7BKtY3vnSkn</t>
  </si>
  <si>
    <t>This Love (Taylor’s Version)</t>
  </si>
  <si>
    <t>4WBEj8TeGtRPNJdOmT3WJW</t>
  </si>
  <si>
    <t>I Know Places (Taylor's Version)</t>
  </si>
  <si>
    <t>1ULabO0PEsdJekqVH6G10G</t>
  </si>
  <si>
    <t>Clean (Taylor's Version)</t>
  </si>
  <si>
    <t>0lKUBmEyQfzsQHozyeXzES</t>
  </si>
  <si>
    <t>Wonderland (Taylor's Version)</t>
  </si>
  <si>
    <t>6HRsJu8vcnzYDN4t0570FY</t>
  </si>
  <si>
    <t>You Are In Love (Taylor's Version)</t>
  </si>
  <si>
    <t>0TyGh27YQ5LknmiDhCzJiT</t>
  </si>
  <si>
    <t>New Romantics (Taylor's Version)</t>
  </si>
  <si>
    <t>5M787RexsAiVYjQusM98CV</t>
  </si>
  <si>
    <t>"Slut!" (Taylor's Version) (From The Vault)</t>
  </si>
  <si>
    <t>0CD7DzeCsuPJygddqlUVYa</t>
  </si>
  <si>
    <t>Say Don't Go (Taylor's Version) (From The Vault)</t>
  </si>
  <si>
    <t>3CCRVu4F91Qp2mnGjmWBrf</t>
  </si>
  <si>
    <t>Now That We Don't Talk (Taylor's Version) (From The Vault)</t>
  </si>
  <si>
    <t>5QUIK7ZtziW8kGWo8RqopF</t>
  </si>
  <si>
    <t>Suburban Legends (Taylor's Version) (From The Vault)</t>
  </si>
  <si>
    <t>6M9ppdfFjR1AbpUl3Y8DcV</t>
  </si>
  <si>
    <t>Is It Over Now? (Taylor's Version) (From The Vault)</t>
  </si>
  <si>
    <t>6IG3sQ8s9nfk6TUlVzRhbN</t>
  </si>
  <si>
    <t>Bad Blood (feat. Kendrick Lamar) (Taylor's Version)</t>
  </si>
  <si>
    <t>6qAcApH8obo8eqatCKUHd9</t>
  </si>
  <si>
    <t>1hR8BSuEqPCCZfv93zzzz9</t>
  </si>
  <si>
    <t>64LU4c1nfjz1t4VnGhagcg</t>
  </si>
  <si>
    <t>1989 (Taylor's Version)</t>
  </si>
  <si>
    <t>45wMBGri1PORPjM9PwFfrS</t>
  </si>
  <si>
    <t>1hjRhYpWyqDpPahmSlUTlc</t>
  </si>
  <si>
    <t>045ZeOHPIzhxxsm8bq5kyE</t>
  </si>
  <si>
    <t>6GXgd1BPD9bUpqw5AntGV5</t>
  </si>
  <si>
    <t>3pv7Q5v2dpdefwdWIvE7yH</t>
  </si>
  <si>
    <t>43y1WpBdnEy5TR9aZoSQL9</t>
  </si>
  <si>
    <t>64FzgoLZ3oXu2SriZblHic</t>
  </si>
  <si>
    <t>1K39ty6o1sHwwlZwO6a7wK</t>
  </si>
  <si>
    <t>75W3SngKzTuoQ94uLf3y82</t>
  </si>
  <si>
    <t>5QVVjX0ZItqlVpEuVCM9Yg</t>
  </si>
  <si>
    <t>2f0GI2ZLUtbGqFx8t2Gk6A</t>
  </si>
  <si>
    <t>2ByBBvpR9b7IynvRmnG7kG</t>
  </si>
  <si>
    <t>2ve0kuaWUCt4Zx8x4bf1MR</t>
  </si>
  <si>
    <t>4UwqOWDpdeIDVQDuKT6iza</t>
  </si>
  <si>
    <t>2vPMoMDXxu9uX1igWZmXSG</t>
  </si>
  <si>
    <t>71BqAINEnezjQfxE4VuJfq</t>
  </si>
  <si>
    <t>4NioO5R9sHEZh4cGzMHyNt</t>
  </si>
  <si>
    <t>5KD6AEm19QnMbfWpfoOHMl</t>
  </si>
  <si>
    <t>6T0sEnqjmHISIKwFETeeiP</t>
  </si>
  <si>
    <t>1Iq8oo9XkmmvCQiGOfORiz</t>
  </si>
  <si>
    <t>Mine (Taylor's Version)</t>
  </si>
  <si>
    <t>7G0gBu6nLdhFDPRLc0HdDG</t>
  </si>
  <si>
    <t>5AEDGbliTTfjOB8TSm1sxt</t>
  </si>
  <si>
    <t>Speak Now (Taylor's Version)</t>
  </si>
  <si>
    <t>Sparks Fly (Taylor’s Version)</t>
  </si>
  <si>
    <t>3MytWN8L7shNYzGl4tAKRp</t>
  </si>
  <si>
    <t>Back To December (Taylor's Version)</t>
  </si>
  <si>
    <t>79uDOz0zuuWS7HWxzMmTa2</t>
  </si>
  <si>
    <t>5xXqyjLicvEpch72qEryFT</t>
  </si>
  <si>
    <t>Dear John (Taylor's Version)</t>
  </si>
  <si>
    <t>1zU8j1x3yi9xalMF96pzKp</t>
  </si>
  <si>
    <t>Mean (Taylor's Version)</t>
  </si>
  <si>
    <t>30Y4CV7A6YqtQtTTo7Ue4j</t>
  </si>
  <si>
    <t>The Story Of Us (Taylor's Version)</t>
  </si>
  <si>
    <t>6dTA6y0C2ReQklntzZl8l3</t>
  </si>
  <si>
    <t>Never Grow Up (Taylor's Version)</t>
  </si>
  <si>
    <t>2EFZ9emtKWEglWUQGEQ3P9</t>
  </si>
  <si>
    <t>Enchanted (Taylor's Version)</t>
  </si>
  <si>
    <t>3sW3oSbzsfecv9XoUdGs7h</t>
  </si>
  <si>
    <t>Better Than Revenge (Taylor's Version)</t>
  </si>
  <si>
    <t>0NwGC0v03ysCYINtg6ns58</t>
  </si>
  <si>
    <t>Innocent (Taylor's Version)</t>
  </si>
  <si>
    <t>12nBPF4Rh4XLFJV0YLN7uj</t>
  </si>
  <si>
    <t>Haunted (Taylor's Version)</t>
  </si>
  <si>
    <t>4tMzIAFTFdqGBQLdfbPces</t>
  </si>
  <si>
    <t>Last Kiss (Taylor's Version)</t>
  </si>
  <si>
    <t>59KOoHFcw5XfICnO57holu</t>
  </si>
  <si>
    <t>Long Live (Taylor's Version)</t>
  </si>
  <si>
    <t>4hqJ4bSlYJOXb6Z4SRmzxs</t>
  </si>
  <si>
    <t>Ours (Taylor’s Version)</t>
  </si>
  <si>
    <t>3yNJkriPzWjkkDAWHIAVUq</t>
  </si>
  <si>
    <t>Superman (Taylor’s Version)</t>
  </si>
  <si>
    <t>4evLyY5Ue1Wesc61t2KXAU</t>
  </si>
  <si>
    <t>Electric Touch (feat. Fall Out Boy) (Taylor’s Version) (From The Vault)</t>
  </si>
  <si>
    <t>4e3ZNTAV6PCrdYMUrUlMpQ</t>
  </si>
  <si>
    <t>When Emma Falls in Love (Taylor’s Version) (From The Vault)</t>
  </si>
  <si>
    <t>0zo975x58DlXbZllWvfYhg</t>
  </si>
  <si>
    <t>I Can See You (Taylor’s Version) (From The Vault)</t>
  </si>
  <si>
    <t>5kHMfzgLZP95O9NBy0ku4v</t>
  </si>
  <si>
    <t>Castles Crumbling (feat. Hayley Williams) (Taylor’s Version) (From The Vault)</t>
  </si>
  <si>
    <t>4ABYxlb92WBIjHu7TIKmml</t>
  </si>
  <si>
    <t>Foolish One (Taylor’s Version) (From The Vault)</t>
  </si>
  <si>
    <t>4s8BIKx4Zh6ryAEz8RTlaU</t>
  </si>
  <si>
    <t>Timeless (Taylor’s Version) (From The Vault)</t>
  </si>
  <si>
    <t>1HCdems7PQZRj42QDWLA0A</t>
  </si>
  <si>
    <t>Lavender Haze</t>
  </si>
  <si>
    <t>24emu3sabKISjRkrys28jq</t>
  </si>
  <si>
    <t>1fnJ7k0bllNfL1kVdNVW1A</t>
  </si>
  <si>
    <t>Midnights (The Til Dawn Edition)</t>
  </si>
  <si>
    <t>Maroon</t>
  </si>
  <si>
    <t>6qxvy9Pe4RJIq5JBVbbwbS</t>
  </si>
  <si>
    <t>Anti-Hero</t>
  </si>
  <si>
    <t>5qIHFdkW6phMsTZlN2g8Lc</t>
  </si>
  <si>
    <t>Snow On The Beach (feat. Lana Del Rey)</t>
  </si>
  <si>
    <t>7GA86Uo2jYbj8vIXe2nyWd</t>
  </si>
  <si>
    <t>You're On Your Own, Kid</t>
  </si>
  <si>
    <t>6PQOU00xWNrGwCZzboriXy</t>
  </si>
  <si>
    <t>Midnight Rain</t>
  </si>
  <si>
    <t>4eKMqf9ZMSclDX7V9Ptg7x</t>
  </si>
  <si>
    <t>Question...?</t>
  </si>
  <si>
    <t>7oomkQSYf1ia2VnVEWfFIU</t>
  </si>
  <si>
    <t>Vigilante Shit</t>
  </si>
  <si>
    <t>0GKDhq6ZbmSbRHd3eyGlB7</t>
  </si>
  <si>
    <t>Bejeweled</t>
  </si>
  <si>
    <t>0VpF6RLdCfPIeYRwMu4tZK</t>
  </si>
  <si>
    <t>Labyrinth</t>
  </si>
  <si>
    <t>4bBDkw2KBMX0tcgAaXC83Q</t>
  </si>
  <si>
    <t>Karma</t>
  </si>
  <si>
    <t>45R112Jz5hQeKgITXgSXzs</t>
  </si>
  <si>
    <t>Sweet Nothing</t>
  </si>
  <si>
    <t>2L09RYwH5Pjzca6PmbUAw3</t>
  </si>
  <si>
    <t>Mastermind</t>
  </si>
  <si>
    <t>1QQii3pa5m8MEda0nbkjfw</t>
  </si>
  <si>
    <t>The Great War</t>
  </si>
  <si>
    <t>2VuqMjgoKaOHNM8HpxtXKx</t>
  </si>
  <si>
    <t>Bigger Than The Whole Sky</t>
  </si>
  <si>
    <t>71CBDRKmF2VeRKYMG1DFBh</t>
  </si>
  <si>
    <t>Paris</t>
  </si>
  <si>
    <t>5tWxKWq1DSP1s9WQ5PWuqu</t>
  </si>
  <si>
    <t>High Infidelity</t>
  </si>
  <si>
    <t>1SztNGCwEHJEVFx90E5g7D</t>
  </si>
  <si>
    <t>Glitch</t>
  </si>
  <si>
    <t>7C0w28EsX0Um2FrZs9gso2</t>
  </si>
  <si>
    <t>Would've, Could've, Should've</t>
  </si>
  <si>
    <t>4txojlesMFQZGWxwz2EeqB</t>
  </si>
  <si>
    <t>Dear Reader</t>
  </si>
  <si>
    <t>10GRRCR5fctuOF4GFmATJI</t>
  </si>
  <si>
    <t>Hits Different</t>
  </si>
  <si>
    <t>3xYJScVfxByb61dYHTwiby</t>
  </si>
  <si>
    <t>Snow On The Beach (feat. More Lana Del Rey)</t>
  </si>
  <si>
    <t>4zmKGsrXjLmljb5fTaBTot</t>
  </si>
  <si>
    <t>Karma (feat. Ice Spice)</t>
  </si>
  <si>
    <t>4i6cwNY6oIUU2XZxPIw82Y</t>
  </si>
  <si>
    <t>4g2c7NoTWAOSYDy44l9nub</t>
  </si>
  <si>
    <t>3lS1y25WAhcqJDATJK70Mq</t>
  </si>
  <si>
    <t>Midnights (3am Edition)</t>
  </si>
  <si>
    <t>199E1RRrVmVTQqBXih5qRC</t>
  </si>
  <si>
    <t>02Zkkf2zMkwRGQjZ7T4p8f</t>
  </si>
  <si>
    <t>6ADDIJxxqzM9LMpm78yzQG</t>
  </si>
  <si>
    <t>7gVWKBcfIW93YxNBi3ApIE</t>
  </si>
  <si>
    <t>6Nl7KyvjkFncGsjB49SxLl</t>
  </si>
  <si>
    <t>6C7OF1Jal7YkyjzyUG8vkK</t>
  </si>
  <si>
    <t>5yeuXkukVGuix3vmLu2BPJ</t>
  </si>
  <si>
    <t>0jvo9CjnbR0lYUDTSNTMiu</t>
  </si>
  <si>
    <t>43q586vP8gGkYypKoSddhl</t>
  </si>
  <si>
    <t>5oqDgw5VGBln5dSIOPWyBq</t>
  </si>
  <si>
    <t>3zmwONxswBAzGwExPugSLN</t>
  </si>
  <si>
    <t>56hioFjQ0DXrdn04hZcFgG</t>
  </si>
  <si>
    <t>3UMrglJeju5yWyYIW6o99b</t>
  </si>
  <si>
    <t>0BiqmkasE5FdrChwKfVp8X</t>
  </si>
  <si>
    <t>7712gjoih4QoDbXpljEk21</t>
  </si>
  <si>
    <t>5kiZGSxgqPdv6rbqL9THdd</t>
  </si>
  <si>
    <t>6wAFvJPpTZVirBKGZ4EnMW</t>
  </si>
  <si>
    <t>0aV5uARAknQgYhBaK944FP</t>
  </si>
  <si>
    <t>3QF5RsWzK1lCvf2o2cY65P</t>
  </si>
  <si>
    <t>5jQI2r1RdgtuT8S3iG8zFC</t>
  </si>
  <si>
    <t>151w1FgRZfnKZA9FEcg9Z3</t>
  </si>
  <si>
    <t>Midnights</t>
  </si>
  <si>
    <t>3eX0NZfLtGzoLUxPNvRfqm</t>
  </si>
  <si>
    <t>0V3wPSX9ygBnCm8psDIegu</t>
  </si>
  <si>
    <t>1wtOxkiel43cVs0Yux5Q4h</t>
  </si>
  <si>
    <t>4D7BCuvgdJlYvlX5WlN54t</t>
  </si>
  <si>
    <t>3rWDp9tBPQR9z6U5YyRSK4</t>
  </si>
  <si>
    <t>0heeNYlwOGuUSe7TgUD27B</t>
  </si>
  <si>
    <t>1xwAWUI6Dj0WGC3KiUPN0O</t>
  </si>
  <si>
    <t>3qoftcUZaUOncvIYjFSPdE</t>
  </si>
  <si>
    <t>0A1JLUlkZkp2EFrosoNQi0</t>
  </si>
  <si>
    <t>7KokYm8cMIXCsGVmUvKtqf</t>
  </si>
  <si>
    <t>0wavGRldH0AWyu2zvTz8zb</t>
  </si>
  <si>
    <t>7FmYn9e7KHMXcxqGSj9LjH</t>
  </si>
  <si>
    <t>State Of Grace (Taylor's Version)</t>
  </si>
  <si>
    <t>6lzc0Al0zfZOIFsFvBS1ki</t>
  </si>
  <si>
    <t>6kZ42qRrzov54LcAk4onW9</t>
  </si>
  <si>
    <t>Red (Taylor's Version)</t>
  </si>
  <si>
    <t>4OAuvHryIVv4kMDNSLuPt6</t>
  </si>
  <si>
    <t>Treacherous (Taylor's Version)</t>
  </si>
  <si>
    <t>3S7HNKPakdwNEBFIVTL6dZ</t>
  </si>
  <si>
    <t>I Knew You Were Trouble (Taylor's Version)</t>
  </si>
  <si>
    <t>6AtZLIzUINvExIUy4QhdjP</t>
  </si>
  <si>
    <t>All Too Well (Taylor's Version)</t>
  </si>
  <si>
    <t>3nsfB1vus2qaloUdcBZvDu</t>
  </si>
  <si>
    <t>22 (Taylor's Version)</t>
  </si>
  <si>
    <t>3yII7UwgLF6K5zW3xad3MP</t>
  </si>
  <si>
    <t>I Almost Do (Taylor's Version)</t>
  </si>
  <si>
    <t>2r9CbjYgFhtAmcFv1cSquB</t>
  </si>
  <si>
    <t>We Are Never Ever Getting Back Together (Taylor's Version)</t>
  </si>
  <si>
    <t>5YqltLsjdqFtvqE7Nrysvs</t>
  </si>
  <si>
    <t>Stay Stay Stay (Taylor's Version)</t>
  </si>
  <si>
    <t>7eQj6r5PIdYKEIZjucBMcq</t>
  </si>
  <si>
    <t>The Last Time (feat. Gary Lightbody of Snow Patrol) (Taylor’s Version)</t>
  </si>
  <si>
    <t>0y6kdSRCVQhSsHSpWvTUm7</t>
  </si>
  <si>
    <t>Holy Ground (Taylor's Version)</t>
  </si>
  <si>
    <t>7J4b3LVCIGO4CMBDFLPoP6</t>
  </si>
  <si>
    <t>Sad Beautiful Tragic (Taylor's Version)</t>
  </si>
  <si>
    <t>73qMN9bXy7MSPwwGfH3wQr</t>
  </si>
  <si>
    <t>The Lucky One (Taylor's Version)</t>
  </si>
  <si>
    <t>4e5ayHsOLJNLTGfjau2mEw</t>
  </si>
  <si>
    <t>Everything Has Changed (feat. Ed Sheeran) (Taylor’s Version)</t>
  </si>
  <si>
    <t>7qEUFOVcxRI19tbT68JcYK</t>
  </si>
  <si>
    <t>Starlight (Taylor's Version)</t>
  </si>
  <si>
    <t>7A2cNLRT0YJc1yjxHlKihs</t>
  </si>
  <si>
    <t>Begin Again (Taylor's Version)</t>
  </si>
  <si>
    <t>05GsNucq8Bngd9fnd4fRa0</t>
  </si>
  <si>
    <t>The Moment I Knew (Taylor's Version)</t>
  </si>
  <si>
    <t>0NRHj8hDwwmSPaA41o379r</t>
  </si>
  <si>
    <t>Come Back...Be Here (Taylor's Version)</t>
  </si>
  <si>
    <t>4pNApnaUWAL2J4KO2eqokq</t>
  </si>
  <si>
    <t>Girl At Home (Taylor's Version)</t>
  </si>
  <si>
    <t>0DMVrlMUn01M0IcpDbwgu7</t>
  </si>
  <si>
    <t>State Of Grace (Acoustic Version) (Taylor's Version)</t>
  </si>
  <si>
    <t>5jAIouBES8LWMiriuNq170</t>
  </si>
  <si>
    <t>Ronan (Taylor's Version)</t>
  </si>
  <si>
    <t>7nWui6jiMM2m9qFmET1Mtj</t>
  </si>
  <si>
    <t>Better Man (Taylor's Version) (From The Vault)</t>
  </si>
  <si>
    <t>4OmFmE0fzcMG6g0Y8p4eSD</t>
  </si>
  <si>
    <t>Nothing New (feat. Phoebe Bridgers) (Taylor’s Version) (From The Vault)</t>
  </si>
  <si>
    <t>01K4zKU104LyJ8gMb7227B</t>
  </si>
  <si>
    <t>Babe (Taylor's Version) (From The Vault)</t>
  </si>
  <si>
    <t>0v4z1tuZvn6LGknom9Qx7d</t>
  </si>
  <si>
    <t>Message In A Bottle (Taylor's Version) (From The Vault)</t>
  </si>
  <si>
    <t>3z6XUommYDWPHeFhmhhT6j</t>
  </si>
  <si>
    <t>I Bet You Think About Me (feat. Chris Stapleton) (Taylor’s Version) (From The Vault)</t>
  </si>
  <si>
    <t>4CkgMiMqZ5JzW9iYXSTMTL</t>
  </si>
  <si>
    <t>Forever Winter (Taylor's Version) (From The Vault)</t>
  </si>
  <si>
    <t>3oGVx9RBmiYGv5ZCecWLkx</t>
  </si>
  <si>
    <t>Run (feat. Ed Sheeran) (Taylor’s Version) (From The Vault)</t>
  </si>
  <si>
    <t>4IQkfUsrwXol38VV3U7t7T</t>
  </si>
  <si>
    <t>The Very First Night (Taylor's Version) (From The Vault)</t>
  </si>
  <si>
    <t>6pYNq0ZwpPVazKzsqpf0G8</t>
  </si>
  <si>
    <t>All Too Well (10 Minute Version) (Taylor's Version) (From The Vault)</t>
  </si>
  <si>
    <t>5enxwA8aAbwZbf5qCHORXi</t>
  </si>
  <si>
    <t>Fearless (Taylor’s Version)</t>
  </si>
  <si>
    <t>77sMIMlNaSURUAXq5coCxE</t>
  </si>
  <si>
    <t>4hDok0OAJd57SGIT8xuWJH</t>
  </si>
  <si>
    <t>Fearless (Taylor's Version)</t>
  </si>
  <si>
    <t>Fifteen (Taylor’s Version)</t>
  </si>
  <si>
    <t>2nqio0SfWg6gh2eCtfuMa5</t>
  </si>
  <si>
    <t>Love Story (Taylor’s Version)</t>
  </si>
  <si>
    <t>6YvqWjhGD8mB5QXcbcUKtx</t>
  </si>
  <si>
    <t>Hey Stephen (Taylor’s Version)</t>
  </si>
  <si>
    <t>550erGcdD9n6PnwxrvYqZT</t>
  </si>
  <si>
    <t>White Horse (Taylor’s Version)</t>
  </si>
  <si>
    <t>5YL553x8sHderRBDlm3NM3</t>
  </si>
  <si>
    <t>You Belong With Me (Taylor’s Version)</t>
  </si>
  <si>
    <t>1qrpoAMXodY6895hGKoUpA</t>
  </si>
  <si>
    <t>Breathe (feat. Colbie Caillat) (Taylor’s Version)</t>
  </si>
  <si>
    <t>7HC7R2D8WjXVcUHJyEGjRs</t>
  </si>
  <si>
    <t>Tell Me Why (Taylor’s Version)</t>
  </si>
  <si>
    <t>0k0vFacOHNuArLWMiH60p7</t>
  </si>
  <si>
    <t>You’re Not Sorry (Taylor’s Version)</t>
  </si>
  <si>
    <t>6iiAfo4wTA2CVC3Uwx9uh8</t>
  </si>
  <si>
    <t>The Way I Loved You (Taylor’s Version)</t>
  </si>
  <si>
    <t>22bPsP2jCgbLUvh82U0Z3M</t>
  </si>
  <si>
    <t>Forever &amp; Always (Taylor’s Version)</t>
  </si>
  <si>
    <t>1msEuwSBneBKpVCZQcFTsU</t>
  </si>
  <si>
    <t>The Best Day (Taylor’s Version)</t>
  </si>
  <si>
    <t>6ON9UuIq49xXY9GPmHIYRp</t>
  </si>
  <si>
    <t>Change (Taylor’s Version)</t>
  </si>
  <si>
    <t>3ExweHKZF9B752DPQByRVT</t>
  </si>
  <si>
    <t>Jump Then Fall (Taylor’s Version)</t>
  </si>
  <si>
    <t>2m3ObD945KvpE5y9A1eUWm</t>
  </si>
  <si>
    <t>Untouchable (Taylor’s Version)</t>
  </si>
  <si>
    <t>0tQ9vBYpldCuikPsbgOVKA</t>
  </si>
  <si>
    <t>Forever &amp; Always (Piano Version) (Taylor’s Version)</t>
  </si>
  <si>
    <t>01QdEx6kFr78ZejhQtWR5m</t>
  </si>
  <si>
    <t>Come In With The Rain (Taylor’s Version)</t>
  </si>
  <si>
    <t>1n2wszmJyVkw6FHqyLnQsY</t>
  </si>
  <si>
    <t>Superstar (Taylor’s Version)</t>
  </si>
  <si>
    <t>51A8eKvvZz9uydvIZ7xRSV</t>
  </si>
  <si>
    <t>The Other Side Of The Door (Taylor’s Version)</t>
  </si>
  <si>
    <t>1cSFlSBdpT4F5vb1frQ231</t>
  </si>
  <si>
    <t>Today Was A Fairytale (Taylor’s Version)</t>
  </si>
  <si>
    <t>2JoJrsEV15OzbijS47lids</t>
  </si>
  <si>
    <t>You All Over Me (feat. Maren Morris) (Taylor’s Version) (From The Vault)</t>
  </si>
  <si>
    <t>4CHpVfAhuxNJ3ibExe6kxO</t>
  </si>
  <si>
    <t>Mr. Perfectly Fine (Taylor’s Version) (From The Vault)</t>
  </si>
  <si>
    <t>2CYVETnhM9aytqrazYYwrK</t>
  </si>
  <si>
    <t>We Were Happy (Taylor’s Version) (From The Vault)</t>
  </si>
  <si>
    <t>34V9RiEPe8MNdU32qJsJa1</t>
  </si>
  <si>
    <t>That’s When (feat. Keith Urban) (Taylor’s Version) (From The Vault)</t>
  </si>
  <si>
    <t>7eResoqEJJAVTkQYSqvO3P</t>
  </si>
  <si>
    <t>Don’t You (Taylor’s Version) (From The Vault)</t>
  </si>
  <si>
    <t>4uuEGH5SVuzkkSFjo2DEiY</t>
  </si>
  <si>
    <t>Bye Bye Baby (Taylor’s Version) (From The Vault)</t>
  </si>
  <si>
    <t>4qUijfYU8EoIWiY6oSyrgT</t>
  </si>
  <si>
    <t>willow</t>
  </si>
  <si>
    <t>2gVhfX2Gy1T9kDuS9azrF7</t>
  </si>
  <si>
    <t>6AORtDjduMM3bupSWzbTSG</t>
  </si>
  <si>
    <t>evermore (deluxe version)</t>
  </si>
  <si>
    <t>champagne problems</t>
  </si>
  <si>
    <t>1gcyHQpBQ1lfXGdhZmWrHP</t>
  </si>
  <si>
    <t>gold rush</t>
  </si>
  <si>
    <t>3Dby3p1m6IOZn2gIIqECgK</t>
  </si>
  <si>
    <t>‘tis the damn season</t>
  </si>
  <si>
    <t>6sQckd3Z8NPxVVKUnavY1F</t>
  </si>
  <si>
    <t>tolerate it</t>
  </si>
  <si>
    <t>6lCvK2AR2uOKkVFCVlAzzm</t>
  </si>
  <si>
    <t>no body, no crime (feat. HAIM)</t>
  </si>
  <si>
    <t>6uwfVkaOM1mcMkFmSn35ix</t>
  </si>
  <si>
    <t>happiness</t>
  </si>
  <si>
    <t>55Vf4bimc1Rtfg0PAQRAo2</t>
  </si>
  <si>
    <t>dorothea</t>
  </si>
  <si>
    <t>66tOfHVH3aUrscg8vExRV4</t>
  </si>
  <si>
    <t>coney island (feat. The National)</t>
  </si>
  <si>
    <t>2awNGIJHodfLZSClB3PYhz</t>
  </si>
  <si>
    <t>ivy</t>
  </si>
  <si>
    <t>43Ykum9T72UOPhBN31grpN</t>
  </si>
  <si>
    <t>cowboy like me</t>
  </si>
  <si>
    <t>52OkpDsU6MmPx1AwGOb6Ap</t>
  </si>
  <si>
    <t>long story short</t>
  </si>
  <si>
    <t>5VYWxXUpxuxEmCqMLDqICo</t>
  </si>
  <si>
    <t>marjorie</t>
  </si>
  <si>
    <t>5uICWmZTLkpEVbK22PBP6e</t>
  </si>
  <si>
    <t>closure</t>
  </si>
  <si>
    <t>6a8aUhYbaQBUI8PcJ5ZmQ6</t>
  </si>
  <si>
    <t>evermore (feat. Bon Iver)</t>
  </si>
  <si>
    <t>6Wlq9rqkxrqj5Kls4Kw14H</t>
  </si>
  <si>
    <t>right where you left me - bonus track</t>
  </si>
  <si>
    <t>3zwMVvkBe2qIKDObWgXw4N</t>
  </si>
  <si>
    <t>it’s time to go - bonus track</t>
  </si>
  <si>
    <t>1kdWw77ZpYOkhxeuhzU1j6</t>
  </si>
  <si>
    <t>0lx2cLdOt3piJbcaXIV74f</t>
  </si>
  <si>
    <t>2Xoteh7uEpea4TohMxjtaq</t>
  </si>
  <si>
    <t>evermore</t>
  </si>
  <si>
    <t>0sY6ZUTh4yoctD8VIXz339</t>
  </si>
  <si>
    <t>5BK0uqwY9DNfZ630STAEaq</t>
  </si>
  <si>
    <t>7dW84mWkdWE5a6lFWxJCBG</t>
  </si>
  <si>
    <t>0PurA4JVJ8YQgSVopY8fn6</t>
  </si>
  <si>
    <t>3RaT22zZsxVYxxKR7TAaYF</t>
  </si>
  <si>
    <t>73YUReisjb3A9ActdLLjJQ</t>
  </si>
  <si>
    <t>670fUmXf4KQekzbEgaXyPA</t>
  </si>
  <si>
    <t>3k7ne7VmH43ZPWxPdvPUgR</t>
  </si>
  <si>
    <t>19CSr8rwW05VJL2F91KFNK</t>
  </si>
  <si>
    <t>1XjHRolIXL2M1EEOUsGGR4</t>
  </si>
  <si>
    <t>2o2sgVJIgFXk8GQjWTgI6U</t>
  </si>
  <si>
    <t>12ntTeqEeTg7GAVpe8Mhpl</t>
  </si>
  <si>
    <t>35rdVq36LMHQX0Suw9a6tK</t>
  </si>
  <si>
    <t>3O5osWf1rSoKMwe6E9ZaXP</t>
  </si>
  <si>
    <t>the 1</t>
  </si>
  <si>
    <t>0P9wLFurlgumLXuqFEpw52</t>
  </si>
  <si>
    <t>0PZ7lAru5FDFHuirTkWe9Z</t>
  </si>
  <si>
    <t>folklore: the long pond studio sessions (from the Disney+ special) [deluxe edition]</t>
  </si>
  <si>
    <t>cardigan</t>
  </si>
  <si>
    <t>7zcnlq38eqNWyUF6eNaB5Z</t>
  </si>
  <si>
    <t>the last great american dynasty</t>
  </si>
  <si>
    <t>4ojxSyrEraN7d46BMBPThZ</t>
  </si>
  <si>
    <t>exile (feat. Bon Iver)</t>
  </si>
  <si>
    <t>6kz2hkq1xQvDqPcUyBkw8f</t>
  </si>
  <si>
    <t>my tears ricochet</t>
  </si>
  <si>
    <t>0Oju1YcbPCJuUQQWoZNdJK</t>
  </si>
  <si>
    <t>mirrorball</t>
  </si>
  <si>
    <t>5jQyGzcwqAxwT5QUIMivoX</t>
  </si>
  <si>
    <t>seven</t>
  </si>
  <si>
    <t>2vJ7QvyCiR4DaHxwO58izA</t>
  </si>
  <si>
    <t>august</t>
  </si>
  <si>
    <t>1UHoF9p75IVsvUt6WdTYhn</t>
  </si>
  <si>
    <t>this is me trying</t>
  </si>
  <si>
    <t>5DnDBYrfGoxdnomqEAkFIv</t>
  </si>
  <si>
    <t>illicit affairs</t>
  </si>
  <si>
    <t>7CVTowKpGPA2MsIbkTl2oc</t>
  </si>
  <si>
    <t>invisible string</t>
  </si>
  <si>
    <t>4WHIqhrbdva5vQSrCuet3l</t>
  </si>
  <si>
    <t>mad woman</t>
  </si>
  <si>
    <t>7klXN6RCN5Rj0VeYO5gBzU</t>
  </si>
  <si>
    <t>epiphany</t>
  </si>
  <si>
    <t>5MFjHn1qfR9AsWuyzJLk1z</t>
  </si>
  <si>
    <t>betty</t>
  </si>
  <si>
    <t>2jhfs6moEAK13eLM6xim4l</t>
  </si>
  <si>
    <t>peace</t>
  </si>
  <si>
    <t>0O9i6jhscByEJs1ipy5hu4</t>
  </si>
  <si>
    <t>hoax</t>
  </si>
  <si>
    <t>4XCYmu7QLySdIahgBALKJK</t>
  </si>
  <si>
    <t>the lakes - bonus track</t>
  </si>
  <si>
    <t>0zEprKYeuGOIZoHyu6O1E2</t>
  </si>
  <si>
    <t>the 1 - the long pond studio sessions</t>
  </si>
  <si>
    <t>08J4bMHbILkwSIhbtrcvjN</t>
  </si>
  <si>
    <t>cardigan - the long pond studio sessions</t>
  </si>
  <si>
    <t>3EPgWM1zfTSzEc0z4AwWTM</t>
  </si>
  <si>
    <t>the last great american dynasty - the long pond studio sessions</t>
  </si>
  <si>
    <t>28tIMaewZuGR8urkvFhQyA</t>
  </si>
  <si>
    <t>exile (feat. Bon Iver) - the long pond studio sessions</t>
  </si>
  <si>
    <t>7N015NTIWGjQDddHUdHPoO</t>
  </si>
  <si>
    <t>my tears ricochet - the long pond studio sessions</t>
  </si>
  <si>
    <t>5mdNyCS7ttVcAyVYOIFEjs</t>
  </si>
  <si>
    <t>mirrorball - the long pond studio sessions</t>
  </si>
  <si>
    <t>2yceD2hx5HhOLgkm1CITCi</t>
  </si>
  <si>
    <t>seven - the long pond studio sessions</t>
  </si>
  <si>
    <t>4cOWq0cVsKjxaQpRMbDoH1</t>
  </si>
  <si>
    <t>august - the long pond studio sessions</t>
  </si>
  <si>
    <t>4MGexoZc12lqE0hYkq9YYx</t>
  </si>
  <si>
    <t>this is me trying - the long pond studio sessions</t>
  </si>
  <si>
    <t>1gaLZjPrDnHQWJds2Jg4KT</t>
  </si>
  <si>
    <t>illicit affairs - the long pond studio sessions</t>
  </si>
  <si>
    <t>560uQyz3p5G9WdnMX39xc6</t>
  </si>
  <si>
    <t>invisible string - the long pond studio sessions</t>
  </si>
  <si>
    <t>5KByGq0JijSSDcy0qzuINs</t>
  </si>
  <si>
    <t>mad woman - the long pond studio sessions</t>
  </si>
  <si>
    <t>04xrhDrQ2WOW8GLwu7kbc0</t>
  </si>
  <si>
    <t>epiphany - the long pond studio sessions</t>
  </si>
  <si>
    <t>4yyKppX85ZkmlGOC2toBZA</t>
  </si>
  <si>
    <t>betty - the long pond studio sessions</t>
  </si>
  <si>
    <t>1mh5dObNoOvCfHmXnhvDEK</t>
  </si>
  <si>
    <t>peace - the long pond studio sessions</t>
  </si>
  <si>
    <t>4YHHz3VIXgNDGdoL9xC1tx</t>
  </si>
  <si>
    <t>hoax - the long pond studio sessions</t>
  </si>
  <si>
    <t>0QTBsdoJhamY3Aid3fOsOd</t>
  </si>
  <si>
    <t>the lakes - the long pond studio sessions</t>
  </si>
  <si>
    <t>6mqyTq948oap5AkyTsd6XF</t>
  </si>
  <si>
    <t>4pfrrhvplbJZAIsfosGWQP</t>
  </si>
  <si>
    <t>1pzvBxYgT6OVwJLtHkrdQK</t>
  </si>
  <si>
    <t>folklore (deluxe version)</t>
  </si>
  <si>
    <t>0KRYCBwIpWYFNrXOmXbyUh</t>
  </si>
  <si>
    <t>2olxzvoFI9IpxqFeUv7WOX</t>
  </si>
  <si>
    <t>5S4aYQAJOwJMAamANWlICO</t>
  </si>
  <si>
    <t>5P2bHCDM2tsgIaYWsZMhu5</t>
  </si>
  <si>
    <t>2I8YAEA1VmCuP1wkJHMpTw</t>
  </si>
  <si>
    <t>76mOLcXOjOEhyY4mMF1l3r</t>
  </si>
  <si>
    <t>6nK2pIKFcRc5frrZKHgsiT</t>
  </si>
  <si>
    <t>7cm50Lw03k6VvRauJtkyTj</t>
  </si>
  <si>
    <t>6DrLROM5MG9bxWHeEG5elq</t>
  </si>
  <si>
    <t>2ehRU518I0hYqMGQnk4lDY</t>
  </si>
  <si>
    <t>0RP1kqoSPkVXsKiQNhMKzV</t>
  </si>
  <si>
    <t>1EXa37LpSvi3OQ9UYQ28rD</t>
  </si>
  <si>
    <t>3IhtE4fkytdrtEfV34UzkD</t>
  </si>
  <si>
    <t>6JlI8Ay77m4nJvZTHvfT1J</t>
  </si>
  <si>
    <t>0YeDG5HnKnG7jpArkzsSPa</t>
  </si>
  <si>
    <t>0eFQWVz0qIxDOvhLpZ40P7</t>
  </si>
  <si>
    <t>0Jlcvv8IykzHaSmj49uNW8</t>
  </si>
  <si>
    <t>2fenSS68JI1h4Fo296JfGr</t>
  </si>
  <si>
    <t>folklore</t>
  </si>
  <si>
    <t>4R2kfaDFhslZEMJqAFNpdd</t>
  </si>
  <si>
    <t>2Eeur20xVqfUoM3Q7EFPFt</t>
  </si>
  <si>
    <t>4pvb0WLRcMtbPGmtejJJ6y</t>
  </si>
  <si>
    <t>1MgV7FIyNxIG7WzMRJV5HC</t>
  </si>
  <si>
    <t>0ZNU020wNYvgW84iljPkPP</t>
  </si>
  <si>
    <t>6KJqZcs9XDgVck7Lg9QOTC</t>
  </si>
  <si>
    <t>3hUxzQpSfdDqwM3ZTFQY0K</t>
  </si>
  <si>
    <t>7kt9e9LFSpN1zQtYEl19o1</t>
  </si>
  <si>
    <t>2NmsngXHeC1GQ9wWrzhOMf</t>
  </si>
  <si>
    <t>6VsvKPJ4xjVNKpI8VVZ3SV</t>
  </si>
  <si>
    <t>2QDyYdZyhlP2fp79KZX8Bi</t>
  </si>
  <si>
    <t>08fa9LFcFBTcilB3iq2e2A</t>
  </si>
  <si>
    <t>5kI4eCXXzyuIUXjQra0Cxi</t>
  </si>
  <si>
    <t>7MbT4I8qGntX4fMdqMQgke</t>
  </si>
  <si>
    <t>6MWoRt97mnSTXZhu3ggi9C</t>
  </si>
  <si>
    <t>I Forgot That You Existed</t>
  </si>
  <si>
    <t>43rA71bccXFGD4C8GOpIlN</t>
  </si>
  <si>
    <t>1NAmidJlEaVgA3MpcPFYGq</t>
  </si>
  <si>
    <t>Lover</t>
  </si>
  <si>
    <t>Cruel Summer</t>
  </si>
  <si>
    <t>1BxfuPKGuaTgP7aM0Bbdwr</t>
  </si>
  <si>
    <t>1dGr1c8CrMLDpV6mPbImSI</t>
  </si>
  <si>
    <t>The Man</t>
  </si>
  <si>
    <t>3RauEVgRgj1IuWdJ9fDs70</t>
  </si>
  <si>
    <t>The Archer</t>
  </si>
  <si>
    <t>3pHkh7d0lzM2AldUtz2x37</t>
  </si>
  <si>
    <t>I Think He Knows</t>
  </si>
  <si>
    <t>2YWtcWi3a83pdEg3Gif4Pd</t>
  </si>
  <si>
    <t>Miss Americana &amp; The Heartbreak Prince</t>
  </si>
  <si>
    <t>214nt20w5wOxJnY462klLw</t>
  </si>
  <si>
    <t>Paper Rings</t>
  </si>
  <si>
    <t>4y5bvROuBDPr5fuwXbIBZR</t>
  </si>
  <si>
    <t>Cornelia Street</t>
  </si>
  <si>
    <t>12M5uqx0ZuwkpLp5rJim1a</t>
  </si>
  <si>
    <t>Death By A Thousand Cuts</t>
  </si>
  <si>
    <t>2dgFqt3w9xIQRjhPtwNk3D</t>
  </si>
  <si>
    <t>London Boy</t>
  </si>
  <si>
    <t>1LLXZFeAHK9R4xUramtUKw</t>
  </si>
  <si>
    <t>Soon You’ll Get Better (feat. The Chicks)</t>
  </si>
  <si>
    <t>4AYtqFyFbX0Xkc2wtcygTr</t>
  </si>
  <si>
    <t>False God</t>
  </si>
  <si>
    <t>5hQSXkFgbxjZo9uCwd11so</t>
  </si>
  <si>
    <t>You Need To Calm Down</t>
  </si>
  <si>
    <t>6RRNNciQGZEXnqk8SQ9yv5</t>
  </si>
  <si>
    <t>Afterglow</t>
  </si>
  <si>
    <t>1SymEzIT3H8UZfibCs3TYi</t>
  </si>
  <si>
    <t>ME! (feat. Brendon Urie of Panic! At The Disco)</t>
  </si>
  <si>
    <t>2Rk4JlNc2TPmZe2af99d45</t>
  </si>
  <si>
    <t>It’s Nice To Have A Friend</t>
  </si>
  <si>
    <t>1SmiQ65iSAbPto6gPFlBYm</t>
  </si>
  <si>
    <t>Daylight</t>
  </si>
  <si>
    <t>1fzAuUVbzlhZ1lJAx9PtY6</t>
  </si>
  <si>
    <t>...Ready For It?</t>
  </si>
  <si>
    <t>2yLa0QULdQr0qAIvVwN6B5</t>
  </si>
  <si>
    <t>6DEjYFkNZh67HP7R9PSZvv</t>
  </si>
  <si>
    <t>reputation</t>
  </si>
  <si>
    <t>End Game</t>
  </si>
  <si>
    <t>2x0WlnmfG39ZuDmstl9xfX</t>
  </si>
  <si>
    <t>I Did Something Bad</t>
  </si>
  <si>
    <t>4svZDCRz4cJoneBpjpx8DJ</t>
  </si>
  <si>
    <t>Don’t Blame Me</t>
  </si>
  <si>
    <t>1R0a2iXumgCiFb7HEZ7gUE</t>
  </si>
  <si>
    <t>Delicate</t>
  </si>
  <si>
    <t>6NFyWDv5CjfwuzoCkw47Xf</t>
  </si>
  <si>
    <t>Look What You Made Me Do</t>
  </si>
  <si>
    <t>1P17dC1amhFzptugyAO7Il</t>
  </si>
  <si>
    <t>So It Goes...</t>
  </si>
  <si>
    <t>5PxFv9yJEg9dxvbZggykro</t>
  </si>
  <si>
    <t>Gorgeous</t>
  </si>
  <si>
    <t>1ZY1PqizIl78geGM4xWlEA</t>
  </si>
  <si>
    <t>Getaway Car</t>
  </si>
  <si>
    <t>0VE4kBnHJUgtMf0dy6DRmW</t>
  </si>
  <si>
    <t>King Of My Heart</t>
  </si>
  <si>
    <t>7HuBDWi18s4aJM8UFnNheH</t>
  </si>
  <si>
    <t>Dancing With Our Hands Tied</t>
  </si>
  <si>
    <t>7I7JbDv63ZJJsSi24DyJrz</t>
  </si>
  <si>
    <t>Dress</t>
  </si>
  <si>
    <t>6oVxXO5oQ4pTpO8RSnkzvv</t>
  </si>
  <si>
    <t>This Is Why We Can't Have Nice Things</t>
  </si>
  <si>
    <t>07NxDD1iKCHbAldceD7QLP</t>
  </si>
  <si>
    <t>Call It What You Want</t>
  </si>
  <si>
    <t>1GwMQaZz6Au3QLDbjbMdme</t>
  </si>
  <si>
    <t>New Year’s Day</t>
  </si>
  <si>
    <t>7F5oktn5YOsR9eR5YsFtqb</t>
  </si>
  <si>
    <t>All Too Well</t>
  </si>
  <si>
    <t>00vJzaoxM3Eja1doBUhX0P</t>
  </si>
  <si>
    <t>1MPAXuTVL2Ej5x0JHiSPq8</t>
  </si>
  <si>
    <t>reputation Stadium Tour Surprise Song Playlist</t>
  </si>
  <si>
    <t>Wildest Dreams</t>
  </si>
  <si>
    <t>22C0JIVhFaczZ4t9heqREN</t>
  </si>
  <si>
    <t>The Best Day</t>
  </si>
  <si>
    <t>7APTsjmZbj7TFXQJAiRti4</t>
  </si>
  <si>
    <t>Red</t>
  </si>
  <si>
    <t>4V9NuhKQcUFt4cgbynHV79</t>
  </si>
  <si>
    <t>Holy Ground</t>
  </si>
  <si>
    <t>4hCZk6WJBFQeG3P7WsyntI</t>
  </si>
  <si>
    <t>Teardrops On My Guitar - Radio Single Remix</t>
  </si>
  <si>
    <t>7eGeUVeCEvEQrivmjl9Qn3</t>
  </si>
  <si>
    <t>Our Song</t>
  </si>
  <si>
    <t>7qGr3rjRhndRIpFUA5f2HJ</t>
  </si>
  <si>
    <t>2P5gfMtCcKP0CkmgqFMyPg</t>
  </si>
  <si>
    <t>I Knew You Were Trouble.</t>
  </si>
  <si>
    <t>2o2IVjuqRkR9hJxtPjtAP0</t>
  </si>
  <si>
    <t>I Don’t Wanna Live Forever (Fifty Shades Darker)</t>
  </si>
  <si>
    <t>55n9yjI6qqXh5F2mYvUc2y</t>
  </si>
  <si>
    <t>Mean</t>
  </si>
  <si>
    <t>5rcHBt2aNcGFWW0jaAUe1L</t>
  </si>
  <si>
    <t>How You Get The Girl</t>
  </si>
  <si>
    <t>3aSYZ4upQ6OSNos26YeVWL</t>
  </si>
  <si>
    <t>41T04yafZVrjNq2FqvLtId</t>
  </si>
  <si>
    <t>Fifteen</t>
  </si>
  <si>
    <t>0H2UD0LfSCiRr59YMGlCuS</t>
  </si>
  <si>
    <t>Mine</t>
  </si>
  <si>
    <t>6FmJKLpyCt42nP2IOVEVc2</t>
  </si>
  <si>
    <t>Sparks Fly</t>
  </si>
  <si>
    <t>5h2sBwpUSAndjObfU3ti2r</t>
  </si>
  <si>
    <t>State Of Grace</t>
  </si>
  <si>
    <t>0YRGTdfmJPALpglAaraYUr</t>
  </si>
  <si>
    <t>Haunted</t>
  </si>
  <si>
    <t>6CB7DczrX9ZJB9Wkjegmaq</t>
  </si>
  <si>
    <t>Never Grow Up</t>
  </si>
  <si>
    <t>1UPDfqsVIZLEiZeMuUsni2</t>
  </si>
  <si>
    <t>Treacherous</t>
  </si>
  <si>
    <t>0r3U7SOcoj4DIEyN44Lt5z</t>
  </si>
  <si>
    <t>Babe</t>
  </si>
  <si>
    <t>40PXEOFLJc7UIpLMrhSfW1</t>
  </si>
  <si>
    <t>Welcome To New York</t>
  </si>
  <si>
    <t>3YLA3NgzFRRa7LiHMtFPby</t>
  </si>
  <si>
    <t>Fearless</t>
  </si>
  <si>
    <t>43sE2O3skbGBpT2tO6fzv9</t>
  </si>
  <si>
    <t>Enchanted</t>
  </si>
  <si>
    <t>5lg33MHs1BoUtJVClw8ZpI</t>
  </si>
  <si>
    <t>Change</t>
  </si>
  <si>
    <t>5PSOWHll3h3Vy226xSJk0M</t>
  </si>
  <si>
    <t>Ours</t>
  </si>
  <si>
    <t>0V3SNHDka1JSCP71HAzpxw</t>
  </si>
  <si>
    <t>Out Of The Woods</t>
  </si>
  <si>
    <t>0GmfiNHSgkKamYgQEMYOH3</t>
  </si>
  <si>
    <t>Come Back...Be Here</t>
  </si>
  <si>
    <t>5hiqtrACtMJkNpaNHj0n9Z</t>
  </si>
  <si>
    <t>A Place in this World</t>
  </si>
  <si>
    <t>2RSYYe7LhKFxIi50T5XtUo</t>
  </si>
  <si>
    <t>This Love</t>
  </si>
  <si>
    <t>64KRxmbqypPBlya4nxFmDn</t>
  </si>
  <si>
    <t>The Lucky One</t>
  </si>
  <si>
    <t>24ksPWXKg1k7OOG57pufED</t>
  </si>
  <si>
    <t>Invisible</t>
  </si>
  <si>
    <t>0kqC185OTcnuhbz4T7g5RB</t>
  </si>
  <si>
    <t>Breathe</t>
  </si>
  <si>
    <t>3oxgFdIlxFEDEJqn7k5TVN</t>
  </si>
  <si>
    <t>Better Man</t>
  </si>
  <si>
    <t>3EXetjrGgwIjDRNn6YA8sa</t>
  </si>
  <si>
    <t>Jump Then Fall</t>
  </si>
  <si>
    <t>5zytSTR2g0I9psX2Z12ex6</t>
  </si>
  <si>
    <t>Begin Again</t>
  </si>
  <si>
    <t>2G679wnKfyhUOeNx910OXg</t>
  </si>
  <si>
    <t>Tied Together with a Smile</t>
  </si>
  <si>
    <t>4qNEi8zGIYLiMtoW8OaJdx</t>
  </si>
  <si>
    <t>The Story Of Us</t>
  </si>
  <si>
    <t>2fF3QzbGCrtrDXIdWcg1mv</t>
  </si>
  <si>
    <t>Forever &amp; Always</t>
  </si>
  <si>
    <t>0QCS4NpURHvWdF1icdkfBw</t>
  </si>
  <si>
    <t>Hey Stephen</t>
  </si>
  <si>
    <t>0TYJbIHBtmWy9ugtU9BcbE</t>
  </si>
  <si>
    <t>Speak Now</t>
  </si>
  <si>
    <t>1XLc4irbX7oQSneh6gWv3O</t>
  </si>
  <si>
    <t>Wonderland</t>
  </si>
  <si>
    <t>0eTCaVOYLpJlSkbEi2jay4</t>
  </si>
  <si>
    <t>White Horse</t>
  </si>
  <si>
    <t>4RMfSYDFkcz0bKoK8fHDgR</t>
  </si>
  <si>
    <t>I'm Only Me When I'm With You</t>
  </si>
  <si>
    <t>6Py8IKZqDyU8aQVrjilbJw</t>
  </si>
  <si>
    <t>Starlight</t>
  </si>
  <si>
    <t>7txpzmA69zyk50K3ZyZSzC</t>
  </si>
  <si>
    <t>I Know Places</t>
  </si>
  <si>
    <t>3qGLcmO0XnnrcpAQGZwTvA</t>
  </si>
  <si>
    <t>33Kq0AT5rvwyE4azisG08x</t>
  </si>
  <si>
    <t>34OkZVpuzBa9y40DCy0LPR</t>
  </si>
  <si>
    <t>1989 (Deluxe Edition)</t>
  </si>
  <si>
    <t>Blank Space</t>
  </si>
  <si>
    <t>2sC2P3BN0IXujNaaSyDmtP</t>
  </si>
  <si>
    <t>Style</t>
  </si>
  <si>
    <t>1fo2ctLqj3zBhRQKOXprol</t>
  </si>
  <si>
    <t>6Nde5KuTXyB7jlPO4upaBo</t>
  </si>
  <si>
    <t>All You Had To Do Was Stay</t>
  </si>
  <si>
    <t>0lmMtDQ2ElasKU2qDAE6NN</t>
  </si>
  <si>
    <t>Shake It Off</t>
  </si>
  <si>
    <t>3fthfkkvy9av3q3uAGVf7U</t>
  </si>
  <si>
    <t>I Wish You Would</t>
  </si>
  <si>
    <t>1B5VzXPqMlvRw0U4HJY3dJ</t>
  </si>
  <si>
    <t>Bad Blood</t>
  </si>
  <si>
    <t>0yN4fNzmVnmgC0dsOoi9Wh</t>
  </si>
  <si>
    <t>106R7Z57WYzBAfrXImV30y</t>
  </si>
  <si>
    <t>6wfugRLamFsTRbPcCpNnP7</t>
  </si>
  <si>
    <t>1kTPQnabROVkW9bUXdCGrB</t>
  </si>
  <si>
    <t>2zfgVd034GlUvk7LqBHl6u</t>
  </si>
  <si>
    <t>Clean</t>
  </si>
  <si>
    <t>4bXCcoesMt8u99xMsbLr9U</t>
  </si>
  <si>
    <t>6iWMI5oOhWrDbLbjmwTWFq</t>
  </si>
  <si>
    <t>You Are In Love</t>
  </si>
  <si>
    <t>4A2LfnduSTsE8u0ecYROxE</t>
  </si>
  <si>
    <t>New Romantics</t>
  </si>
  <si>
    <t>6rZVy6FIG7lSJQMFXHo12z</t>
  </si>
  <si>
    <t>I Know Places - Voice Memo</t>
  </si>
  <si>
    <t>4JQm7ebhsrt10wmrP6AfXL</t>
  </si>
  <si>
    <t>I Wish You Would - Voice Memo</t>
  </si>
  <si>
    <t>4TtyvyI42C0KFnbDZvNC8Y</t>
  </si>
  <si>
    <t>Blank Space - Voice Memo</t>
  </si>
  <si>
    <t>0yisH8r0f3Mkq34kjzUlCV</t>
  </si>
  <si>
    <t>6qnM0XXPZOINWA778uNqQ9</t>
  </si>
  <si>
    <t>2QJmrSgbdM35R67eoGQo4j</t>
  </si>
  <si>
    <t>1p80LdxRV74UKvL8gnD7ky</t>
  </si>
  <si>
    <t>4lIxdJw6W3Fg4vUIYCB0S5</t>
  </si>
  <si>
    <t>5OndtwLGA9O6XHFcGm2H7r</t>
  </si>
  <si>
    <t>0dAb8TY433dl3ZfXYCLE19</t>
  </si>
  <si>
    <t>5xTtaWoae3wi06K5WfVUUH</t>
  </si>
  <si>
    <t>3wmN11qXGL0HyPojvEE1D9</t>
  </si>
  <si>
    <t>273dCMFseLcVsoSWx59IoE</t>
  </si>
  <si>
    <t>59HjlYCeBsxdI0fcm3zglw</t>
  </si>
  <si>
    <t>4dYUOfmWna6DFccnz732n8</t>
  </si>
  <si>
    <t>3oKMl2tJv4fdidkXUYMI5x</t>
  </si>
  <si>
    <t>3jBMHD19RZdAqG9iFQh7xc</t>
  </si>
  <si>
    <t>06WgOCf0LV2h4keYXDRnuh</t>
  </si>
  <si>
    <t>Which Taylor Swift album have the highest average danceability according to this data?</t>
  </si>
  <si>
    <t>Average of danceability</t>
  </si>
  <si>
    <t>To answer my question above, I allowed a PivotTable to be created to place the album titles in columns and the value of danceability in values. Then, I summarized these values by the averages. I also represented this in a chart shown to the right. This shows that Lover is the most danceable album with a rating of 0.6582. 1989 (Taylor's Version) (Deluxe Edition) was a close second to Lover. The album with the lowest danceability rating was Evermore. While this may be the case for this dataset, one of Taylor Swift's albums (her self-titled first album, "Taylor Swift") is not listed here. There is a chance that this could impact the data collected here. Additionally, not all previous versions of Taylor's albums are listed here. For example, the original 1989 album is featured along with its re-recordings, but Fearless (Taylor's Verion) is the only album listed for Fearless. This may impact danceability rating as minor details were changed in the re-recordings. I would say average is the best way to answer the question of which album has the most danceability though and this analysis showed that the album with the highest danceability rating was Lover.</t>
  </si>
  <si>
    <t>Cover - num</t>
  </si>
  <si>
    <t>Mean of Hardcover Book weights</t>
  </si>
  <si>
    <t>Mean of Paperback Book weights</t>
  </si>
  <si>
    <t>Variance in Book Volumes</t>
  </si>
  <si>
    <t>&lt;-- Paperback</t>
  </si>
  <si>
    <t>Varience in Hardback Volumes</t>
  </si>
  <si>
    <t>Varience in Paperback Volumes</t>
  </si>
  <si>
    <t>Average Hardback Volume</t>
  </si>
  <si>
    <t>Average Paperback Volume</t>
  </si>
  <si>
    <t>Based on the data collected above, I believe the best switch to make would be to do paperback books only. As it stands from this sample, the library has a median of paperback books to begin with, which is a good start for this switch. Additionally, the weight of these books are much less on average, making them easier to carry and store. The varience shows that the data is more spread out from the mean in paperback than hardback. This could indicate that the books in this sample tended to be larger or smaller in the paperbacks. However, because this is a small sample size, it is difficult to know that for sure. Based on all of this data however, I believe it would be best to switch to paperback due to its smaller weight on average and possible smaller volumes due to it's large, spread out varience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</si>
</sst>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0"/>
      <color indexed="8"/>
      <name val="Helvetica Neue"/>
    </font>
    <font>
      <b/>
      <sz val="10"/>
      <color indexed="8"/>
      <name val="Helvetica Neue"/>
      <family val="2"/>
    </font>
    <font>
      <sz val="11"/>
      <color rgb="FF000000"/>
      <name val="Calibri"/>
      <family val="2"/>
    </font>
    <font>
      <sz val="10"/>
      <color indexed="8"/>
      <name val="Helvetica Neue"/>
      <family val="2"/>
    </font>
    <font>
      <b/>
      <u/>
      <sz val="10"/>
      <color indexed="8"/>
      <name val="Helvetica Neue"/>
      <family val="2"/>
    </font>
    <font>
      <b/>
      <sz val="11"/>
      <color rgb="FF000000"/>
      <name val="Calibri"/>
      <family val="2"/>
    </font>
    <font>
      <sz val="12"/>
      <color rgb="FF000000"/>
      <name val="Helvetica Neue"/>
      <family val="2"/>
    </font>
    <font>
      <b/>
      <sz val="10"/>
      <color rgb="FF000000"/>
      <name val="Helvetica Neue"/>
      <family val="2"/>
    </font>
    <font>
      <sz val="10"/>
      <color rgb="FF000000"/>
      <name val="Helvetica Neue"/>
      <family val="2"/>
    </font>
  </fonts>
  <fills count="1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BDC0BF"/>
        <bgColor rgb="FF000000"/>
      </patternFill>
    </fill>
    <fill>
      <patternFill patternType="solid">
        <fgColor rgb="FFDBDBDB"/>
        <bgColor rgb="FF000000"/>
      </patternFill>
    </fill>
    <fill>
      <patternFill patternType="solid">
        <fgColor rgb="FFFFC000"/>
        <bgColor indexed="64"/>
      </patternFill>
    </fill>
    <fill>
      <patternFill patternType="solid">
        <fgColor theme="7"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8"/>
        <bgColor indexed="64"/>
      </patternFill>
    </fill>
    <fill>
      <patternFill patternType="solid">
        <fgColor theme="3"/>
        <bgColor indexed="64"/>
      </patternFill>
    </fill>
    <fill>
      <patternFill patternType="solid">
        <fgColor rgb="FFD883FF"/>
        <bgColor indexed="64"/>
      </patternFill>
    </fill>
    <fill>
      <patternFill patternType="solid">
        <fgColor theme="0" tint="-4.9989318521683403E-2"/>
        <bgColor indexed="64"/>
      </patternFill>
    </fill>
    <fill>
      <patternFill patternType="solid">
        <fgColor theme="6"/>
        <bgColor indexed="64"/>
      </patternFill>
    </fill>
    <fill>
      <patternFill patternType="solid">
        <fgColor rgb="FFFF0000"/>
        <bgColor indexed="64"/>
      </patternFill>
    </fill>
  </fills>
  <borders count="3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style="thin">
        <color rgb="FF999999"/>
      </right>
      <top style="thin">
        <color rgb="FF999999"/>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FF0000"/>
      </left>
      <right style="thin">
        <color rgb="FFFF0000"/>
      </right>
      <top style="thin">
        <color rgb="FFFF0000"/>
      </top>
      <bottom style="thin">
        <color rgb="FF00FF00"/>
      </bottom>
      <diagonal/>
    </border>
    <border>
      <left style="thin">
        <color rgb="FFFF0000"/>
      </left>
      <right style="thin">
        <color rgb="FF00FF00"/>
      </right>
      <top style="thin">
        <color rgb="FF00FF00"/>
      </top>
      <bottom style="thin">
        <color rgb="FFFF0000"/>
      </bottom>
      <diagonal/>
    </border>
    <border>
      <left style="thin">
        <color rgb="FF00FF00"/>
      </left>
      <right style="thin">
        <color rgb="FFFF0000"/>
      </right>
      <top style="thin">
        <color rgb="FF00FF00"/>
      </top>
      <bottom style="thin">
        <color rgb="FFFF0000"/>
      </bottom>
      <diagonal/>
    </border>
    <border>
      <left style="thin">
        <color rgb="FFFF0000"/>
      </left>
      <right style="thin">
        <color rgb="FFFF0000"/>
      </right>
      <top style="thin">
        <color rgb="FF00FF00"/>
      </top>
      <bottom style="thin">
        <color rgb="FFFF0000"/>
      </bottom>
      <diagonal/>
    </border>
    <border>
      <left style="thin">
        <color rgb="FFFF0000"/>
      </left>
      <right style="thin">
        <color rgb="FF00FF00"/>
      </right>
      <top style="thin">
        <color rgb="FFFF0000"/>
      </top>
      <bottom style="thin">
        <color rgb="FFFF0000"/>
      </bottom>
      <diagonal/>
    </border>
    <border>
      <left style="thin">
        <color rgb="FF00FF00"/>
      </left>
      <right style="thin">
        <color rgb="FFFF0000"/>
      </right>
      <top style="thin">
        <color rgb="FFFF0000"/>
      </top>
      <bottom style="thin">
        <color rgb="FFFF0000"/>
      </bottom>
      <diagonal/>
    </border>
    <border>
      <left style="thin">
        <color rgb="FFFF0000"/>
      </left>
      <right style="thin">
        <color rgb="FFFF0000"/>
      </right>
      <top style="thin">
        <color rgb="FFFF0000"/>
      </top>
      <bottom style="thin">
        <color rgb="FFFF0000"/>
      </bottom>
      <diagonal/>
    </border>
    <border>
      <left/>
      <right/>
      <top/>
      <bottom style="thin">
        <color rgb="FFFF0000"/>
      </bottom>
      <diagonal/>
    </border>
  </borders>
  <cellStyleXfs count="1">
    <xf numFmtId="0" fontId="0" fillId="0" borderId="0" applyNumberFormat="0" applyFill="0" applyBorder="0" applyProtection="0">
      <alignment vertical="top" wrapText="1"/>
    </xf>
  </cellStyleXfs>
  <cellXfs count="107">
    <xf numFmtId="0" fontId="0" fillId="0" borderId="0" xfId="0">
      <alignment vertical="top" wrapText="1"/>
    </xf>
    <xf numFmtId="0" fontId="2" fillId="0" borderId="0" xfId="0" applyFont="1" applyAlignment="1" applyProtection="1">
      <protection locked="0"/>
    </xf>
    <xf numFmtId="0" fontId="0" fillId="0" borderId="0" xfId="0" applyAlignment="1">
      <alignment horizontal="center" vertical="top" wrapText="1"/>
    </xf>
    <xf numFmtId="0" fontId="3" fillId="0" borderId="0" xfId="0" applyFont="1" applyAlignment="1">
      <alignment horizontal="center" vertical="top" wrapText="1"/>
    </xf>
    <xf numFmtId="0" fontId="0" fillId="0" borderId="0" xfId="0" applyAlignment="1">
      <alignment horizontal="right" vertical="top" wrapText="1"/>
    </xf>
    <xf numFmtId="0" fontId="0" fillId="0" borderId="5" xfId="0" applyBorder="1">
      <alignment vertical="top" wrapText="1"/>
    </xf>
    <xf numFmtId="0" fontId="0" fillId="0" borderId="6" xfId="0" applyBorder="1">
      <alignment vertical="top" wrapText="1"/>
    </xf>
    <xf numFmtId="0" fontId="0" fillId="0" borderId="7" xfId="0" applyBorder="1">
      <alignment vertical="top" wrapText="1"/>
    </xf>
    <xf numFmtId="0" fontId="0" fillId="0" borderId="8" xfId="0" applyBorder="1">
      <alignment vertical="top" wrapText="1"/>
    </xf>
    <xf numFmtId="0" fontId="0" fillId="0" borderId="5" xfId="0" pivotButton="1" applyBorder="1">
      <alignment vertical="top" wrapText="1"/>
    </xf>
    <xf numFmtId="0" fontId="0" fillId="0" borderId="9" xfId="0" applyBorder="1">
      <alignment vertical="top" wrapText="1"/>
    </xf>
    <xf numFmtId="0" fontId="0" fillId="0" borderId="13" xfId="0" applyBorder="1">
      <alignment vertical="top" wrapText="1"/>
    </xf>
    <xf numFmtId="0" fontId="0" fillId="0" borderId="9" xfId="0" applyNumberFormat="1" applyBorder="1">
      <alignment vertical="top" wrapText="1"/>
    </xf>
    <xf numFmtId="0" fontId="0" fillId="0" borderId="10" xfId="0" applyNumberFormat="1" applyBorder="1">
      <alignment vertical="top" wrapText="1"/>
    </xf>
    <xf numFmtId="0" fontId="0" fillId="0" borderId="11" xfId="0" applyNumberFormat="1" applyBorder="1">
      <alignment vertical="top" wrapText="1"/>
    </xf>
    <xf numFmtId="0" fontId="5" fillId="0" borderId="0" xfId="0" applyFont="1" applyAlignment="1" applyProtection="1">
      <protection locked="0"/>
    </xf>
    <xf numFmtId="0" fontId="1" fillId="0" borderId="0" xfId="0" applyFont="1">
      <alignment vertical="top" wrapText="1"/>
    </xf>
    <xf numFmtId="0" fontId="3" fillId="0" borderId="0" xfId="0" applyFont="1" applyFill="1">
      <alignment vertical="top" wrapText="1"/>
    </xf>
    <xf numFmtId="0" fontId="3" fillId="5" borderId="17" xfId="0" applyFont="1" applyFill="1" applyBorder="1">
      <alignment vertical="top" wrapText="1"/>
    </xf>
    <xf numFmtId="0" fontId="3" fillId="5" borderId="0" xfId="0" applyFont="1" applyFill="1" applyBorder="1">
      <alignment vertical="top" wrapText="1"/>
    </xf>
    <xf numFmtId="0" fontId="3" fillId="5" borderId="18" xfId="0" applyFont="1" applyFill="1" applyBorder="1">
      <alignment vertical="top" wrapText="1"/>
    </xf>
    <xf numFmtId="0" fontId="3" fillId="5" borderId="19" xfId="0" applyFont="1" applyFill="1" applyBorder="1">
      <alignment vertical="top" wrapText="1"/>
    </xf>
    <xf numFmtId="0" fontId="3" fillId="5" borderId="14" xfId="0" applyFont="1" applyFill="1" applyBorder="1">
      <alignment vertical="top" wrapText="1"/>
    </xf>
    <xf numFmtId="0" fontId="0" fillId="5" borderId="14" xfId="0" applyFill="1" applyBorder="1">
      <alignment vertical="top" wrapText="1"/>
    </xf>
    <xf numFmtId="0" fontId="0" fillId="5" borderId="20" xfId="0" applyFill="1" applyBorder="1">
      <alignment vertical="top" wrapText="1"/>
    </xf>
    <xf numFmtId="0" fontId="3" fillId="2" borderId="21" xfId="0" applyFont="1" applyFill="1" applyBorder="1">
      <alignment vertical="top" wrapText="1"/>
    </xf>
    <xf numFmtId="0" fontId="0" fillId="2" borderId="22" xfId="0" applyFill="1" applyBorder="1">
      <alignment vertical="top" wrapText="1"/>
    </xf>
    <xf numFmtId="0" fontId="3" fillId="3" borderId="17" xfId="0" applyFont="1" applyFill="1" applyBorder="1">
      <alignment vertical="top" wrapText="1"/>
    </xf>
    <xf numFmtId="0" fontId="0" fillId="3" borderId="18" xfId="0" applyFill="1" applyBorder="1">
      <alignment vertical="top" wrapText="1"/>
    </xf>
    <xf numFmtId="0" fontId="3" fillId="3" borderId="19" xfId="0" applyFont="1" applyFill="1" applyBorder="1">
      <alignment vertical="top" wrapText="1"/>
    </xf>
    <xf numFmtId="164" fontId="0" fillId="3" borderId="20" xfId="0" applyNumberFormat="1" applyFill="1" applyBorder="1">
      <alignment vertical="top" wrapText="1"/>
    </xf>
    <xf numFmtId="0" fontId="7" fillId="6" borderId="23" xfId="0" applyFont="1" applyFill="1" applyBorder="1" applyAlignment="1">
      <alignment vertical="top"/>
    </xf>
    <xf numFmtId="0" fontId="7" fillId="7" borderId="24" xfId="0" applyFont="1" applyFill="1" applyBorder="1" applyAlignment="1">
      <alignment vertical="top"/>
    </xf>
    <xf numFmtId="0" fontId="8" fillId="0" borderId="25" xfId="0" applyFont="1" applyBorder="1" applyAlignment="1">
      <alignment vertical="top"/>
    </xf>
    <xf numFmtId="0" fontId="8" fillId="0" borderId="26" xfId="0" applyFont="1" applyBorder="1" applyAlignment="1">
      <alignment vertical="top"/>
    </xf>
    <xf numFmtId="14" fontId="8" fillId="0" borderId="26" xfId="0" applyNumberFormat="1" applyFont="1" applyBorder="1" applyAlignment="1">
      <alignment vertical="top"/>
    </xf>
    <xf numFmtId="0" fontId="7" fillId="7" borderId="27" xfId="0" applyFont="1" applyFill="1" applyBorder="1" applyAlignment="1">
      <alignment vertical="top"/>
    </xf>
    <xf numFmtId="0" fontId="8" fillId="0" borderId="28" xfId="0" applyFont="1" applyBorder="1" applyAlignment="1">
      <alignment vertical="top"/>
    </xf>
    <xf numFmtId="0" fontId="8" fillId="0" borderId="29" xfId="0" applyFont="1" applyBorder="1" applyAlignment="1">
      <alignment vertical="top"/>
    </xf>
    <xf numFmtId="14" fontId="8" fillId="0" borderId="29" xfId="0" applyNumberFormat="1" applyFont="1" applyBorder="1" applyAlignment="1">
      <alignment vertical="top"/>
    </xf>
    <xf numFmtId="0" fontId="0" fillId="2" borderId="5" xfId="0" applyFill="1" applyBorder="1">
      <alignment vertical="top" wrapText="1"/>
    </xf>
    <xf numFmtId="0" fontId="0" fillId="2" borderId="12" xfId="0" applyFill="1" applyBorder="1">
      <alignment vertical="top" wrapText="1"/>
    </xf>
    <xf numFmtId="0" fontId="0" fillId="8" borderId="12" xfId="0" applyFill="1" applyBorder="1">
      <alignment vertical="top" wrapText="1"/>
    </xf>
    <xf numFmtId="0" fontId="0" fillId="9" borderId="12" xfId="0" applyFill="1" applyBorder="1">
      <alignment vertical="top" wrapText="1"/>
    </xf>
    <xf numFmtId="0" fontId="0" fillId="10" borderId="12" xfId="0" applyFill="1" applyBorder="1">
      <alignment vertical="top" wrapText="1"/>
    </xf>
    <xf numFmtId="0" fontId="0" fillId="3" borderId="12" xfId="0" applyFill="1" applyBorder="1">
      <alignment vertical="top" wrapText="1"/>
    </xf>
    <xf numFmtId="0" fontId="0" fillId="11" borderId="12" xfId="0" applyFill="1" applyBorder="1">
      <alignment vertical="top" wrapText="1"/>
    </xf>
    <xf numFmtId="0" fontId="0" fillId="12" borderId="12" xfId="0" applyFill="1" applyBorder="1">
      <alignment vertical="top" wrapText="1"/>
    </xf>
    <xf numFmtId="0" fontId="0" fillId="13" borderId="12" xfId="0" applyFill="1" applyBorder="1">
      <alignment vertical="top" wrapText="1"/>
    </xf>
    <xf numFmtId="0" fontId="0" fillId="14" borderId="12" xfId="0" applyFill="1" applyBorder="1">
      <alignment vertical="top" wrapText="1"/>
    </xf>
    <xf numFmtId="0" fontId="0" fillId="15" borderId="12" xfId="0" applyFill="1" applyBorder="1">
      <alignment vertical="top" wrapText="1"/>
    </xf>
    <xf numFmtId="0" fontId="0" fillId="16" borderId="10" xfId="0" applyNumberFormat="1" applyFill="1" applyBorder="1">
      <alignment vertical="top" wrapText="1"/>
    </xf>
    <xf numFmtId="0" fontId="0" fillId="17" borderId="10" xfId="0" applyNumberFormat="1" applyFill="1" applyBorder="1">
      <alignment vertical="top" wrapText="1"/>
    </xf>
    <xf numFmtId="0" fontId="4" fillId="2" borderId="1" xfId="0" applyFont="1" applyFill="1" applyBorder="1" applyAlignment="1">
      <alignment horizontal="center"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3" fillId="2" borderId="0"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0" fillId="3" borderId="4" xfId="0" applyFill="1" applyBorder="1" applyAlignment="1">
      <alignment horizontal="center" vertical="top" wrapText="1"/>
    </xf>
    <xf numFmtId="0" fontId="0" fillId="3" borderId="0" xfId="0" applyFill="1" applyAlignment="1">
      <alignment horizontal="center" vertical="top" wrapText="1"/>
    </xf>
    <xf numFmtId="0" fontId="3" fillId="5" borderId="15" xfId="0" applyFont="1" applyFill="1" applyBorder="1" applyAlignment="1">
      <alignment horizontal="center" vertical="top" wrapText="1"/>
    </xf>
    <xf numFmtId="0" fontId="3" fillId="5" borderId="16" xfId="0" applyFont="1" applyFill="1" applyBorder="1" applyAlignment="1">
      <alignment horizontal="center" vertical="top" wrapText="1"/>
    </xf>
    <xf numFmtId="0" fontId="3" fillId="5" borderId="19" xfId="0" applyFont="1" applyFill="1" applyBorder="1" applyAlignment="1">
      <alignment horizontal="center" vertical="top" wrapText="1"/>
    </xf>
    <xf numFmtId="0" fontId="0" fillId="5" borderId="20" xfId="0" applyFill="1" applyBorder="1" applyAlignment="1">
      <alignment horizontal="center" vertical="top" wrapText="1"/>
    </xf>
    <xf numFmtId="0" fontId="3" fillId="4" borderId="15"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4" borderId="16" xfId="0" applyFont="1" applyFill="1" applyBorder="1" applyAlignment="1">
      <alignment horizontal="center" vertical="top" wrapText="1"/>
    </xf>
    <xf numFmtId="0" fontId="3" fillId="4" borderId="17" xfId="0" applyFont="1" applyFill="1" applyBorder="1" applyAlignment="1">
      <alignment horizontal="center" vertical="top" wrapText="1"/>
    </xf>
    <xf numFmtId="0" fontId="3" fillId="4" borderId="0" xfId="0" applyFont="1" applyFill="1" applyBorder="1" applyAlignment="1">
      <alignment horizontal="center" vertical="top" wrapText="1"/>
    </xf>
    <xf numFmtId="0" fontId="3" fillId="4" borderId="18" xfId="0" applyFont="1" applyFill="1" applyBorder="1" applyAlignment="1">
      <alignment horizontal="center" vertical="top" wrapText="1"/>
    </xf>
    <xf numFmtId="0" fontId="3" fillId="4" borderId="19" xfId="0" applyFont="1" applyFill="1" applyBorder="1" applyAlignment="1">
      <alignment horizontal="center" vertical="top" wrapText="1"/>
    </xf>
    <xf numFmtId="0" fontId="3" fillId="4" borderId="14" xfId="0" applyFont="1" applyFill="1" applyBorder="1" applyAlignment="1">
      <alignment horizontal="center" vertical="top" wrapText="1"/>
    </xf>
    <xf numFmtId="0" fontId="3" fillId="4" borderId="20" xfId="0" applyFont="1" applyFill="1" applyBorder="1" applyAlignment="1">
      <alignment horizontal="center" vertical="top" wrapText="1"/>
    </xf>
    <xf numFmtId="0" fontId="1" fillId="0" borderId="0" xfId="0" applyFont="1" applyAlignment="1">
      <alignment horizontal="center" vertical="top" wrapText="1"/>
    </xf>
    <xf numFmtId="0" fontId="3" fillId="5" borderId="4" xfId="0" applyFont="1" applyFill="1" applyBorder="1" applyAlignment="1">
      <alignment horizontal="center" vertical="top" wrapText="1"/>
    </xf>
    <xf numFmtId="0" fontId="3" fillId="3" borderId="15" xfId="0" applyFont="1" applyFill="1" applyBorder="1" applyAlignment="1">
      <alignment horizontal="center" vertical="top" wrapText="1"/>
    </xf>
    <xf numFmtId="0" fontId="0" fillId="3" borderId="16" xfId="0" applyFill="1" applyBorder="1" applyAlignment="1">
      <alignment horizontal="center" vertical="top" wrapText="1"/>
    </xf>
    <xf numFmtId="0" fontId="6" fillId="0" borderId="30" xfId="0" applyFont="1" applyBorder="1" applyAlignment="1">
      <alignment horizontal="center" vertical="center"/>
    </xf>
    <xf numFmtId="0" fontId="3" fillId="3" borderId="1" xfId="0" applyFont="1" applyFill="1" applyBorder="1" applyAlignment="1">
      <alignment horizontal="center" vertical="top" wrapText="1"/>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3" fillId="4" borderId="15" xfId="0" applyFont="1" applyFill="1" applyBorder="1" applyAlignment="1">
      <alignment horizontal="center" vertical="center" wrapText="1"/>
    </xf>
    <xf numFmtId="0" fontId="0" fillId="4" borderId="4"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0"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19"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20" xfId="0" applyFill="1" applyBorder="1" applyAlignment="1">
      <alignment horizontal="center" vertical="center" wrapText="1"/>
    </xf>
    <xf numFmtId="0" fontId="3" fillId="4" borderId="0" xfId="0" applyFont="1" applyFill="1" applyAlignment="1">
      <alignment horizontal="center" vertical="top" wrapText="1"/>
    </xf>
    <xf numFmtId="0" fontId="0" fillId="4" borderId="0" xfId="0" applyFill="1">
      <alignment vertical="top" wrapText="1"/>
    </xf>
    <xf numFmtId="0" fontId="3" fillId="3" borderId="0" xfId="0" applyFont="1" applyFill="1" applyAlignment="1">
      <alignment horizontal="center" vertical="top" wrapText="1"/>
    </xf>
    <xf numFmtId="0" fontId="0" fillId="3" borderId="0" xfId="0" applyFill="1">
      <alignment vertical="top" wrapText="1"/>
    </xf>
    <xf numFmtId="0" fontId="3" fillId="5" borderId="0" xfId="0" applyFont="1" applyFill="1" applyAlignment="1">
      <alignment horizontal="center" vertical="top" wrapText="1"/>
    </xf>
    <xf numFmtId="0" fontId="0" fillId="5" borderId="0" xfId="0" applyFill="1">
      <alignment vertical="top" wrapText="1"/>
    </xf>
    <xf numFmtId="0" fontId="3" fillId="3" borderId="0" xfId="0" applyFont="1" applyFill="1" applyAlignment="1">
      <alignment horizontal="left" vertical="top" wrapText="1"/>
    </xf>
    <xf numFmtId="0" fontId="3" fillId="0" borderId="1" xfId="0" applyFont="1" applyFill="1" applyBorder="1" applyAlignment="1">
      <alignment vertical="top" wrapText="1"/>
    </xf>
    <xf numFmtId="0" fontId="0" fillId="0" borderId="2" xfId="0" applyFill="1" applyBorder="1" applyAlignment="1">
      <alignment vertical="top" wrapText="1"/>
    </xf>
    <xf numFmtId="0" fontId="0" fillId="0" borderId="3" xfId="0" applyFill="1" applyBorder="1" applyAlignment="1">
      <alignment vertical="top" wrapText="1"/>
    </xf>
    <xf numFmtId="0" fontId="0" fillId="0" borderId="0" xfId="0" applyAlignment="1">
      <alignment horizontal="center" vertical="top" wrapText="1"/>
    </xf>
    <xf numFmtId="0" fontId="3" fillId="0" borderId="0" xfId="0" applyFont="1" applyAlignment="1">
      <alignment horizontal="center" vertical="top" wrapText="1"/>
    </xf>
    <xf numFmtId="0" fontId="3" fillId="4" borderId="0" xfId="0" applyFont="1" applyFill="1">
      <alignment vertical="top" wrapText="1"/>
    </xf>
  </cellXfs>
  <cellStyles count="1">
    <cellStyle name="Normal" xfId="0" builtinId="0"/>
  </cellStyles>
  <dxfs count="17">
    <dxf>
      <fill>
        <patternFill patternType="solid">
          <bgColor rgb="FFFF0000"/>
        </patternFill>
      </fill>
    </dxf>
    <dxf>
      <fill>
        <patternFill patternType="solid">
          <bgColor theme="6"/>
        </patternFill>
      </fill>
    </dxf>
    <dxf>
      <fill>
        <patternFill>
          <bgColor theme="0" tint="-4.9989318521683403E-2"/>
        </patternFill>
      </fill>
    </dxf>
    <dxf>
      <fill>
        <patternFill patternType="solid">
          <bgColor theme="0" tint="-0.14999847407452621"/>
        </patternFill>
      </fill>
    </dxf>
    <dxf>
      <fill>
        <patternFill>
          <bgColor rgb="FFD883FF"/>
        </patternFill>
      </fill>
    </dxf>
    <dxf>
      <fill>
        <patternFill patternType="solid">
          <bgColor rgb="FF7030A0"/>
        </patternFill>
      </fill>
    </dxf>
    <dxf>
      <fill>
        <patternFill patternType="solid">
          <bgColor theme="3"/>
        </patternFill>
      </fill>
    </dxf>
    <dxf>
      <fill>
        <patternFill patternType="solid">
          <bgColor theme="8"/>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9" tint="0.79998168889431442"/>
        </patternFill>
      </fill>
    </dxf>
    <dxf>
      <fill>
        <patternFill patternType="solid">
          <bgColor theme="2"/>
        </patternFill>
      </fill>
    </dxf>
    <dxf>
      <fill>
        <patternFill>
          <bgColor theme="7" tint="0.59999389629810485"/>
        </patternFill>
      </fill>
    </dxf>
    <dxf>
      <fill>
        <patternFill patternType="solid">
          <bgColor theme="7"/>
        </patternFill>
      </fill>
    </dxf>
    <dxf>
      <fill>
        <patternFill patternType="solid">
          <bgColor rgb="FFFFC000"/>
        </patternFill>
      </fill>
    </dxf>
    <dxf>
      <fill>
        <patternFill patternType="solid">
          <bgColor theme="5" tint="0.79998168889431442"/>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[DSC140S-Homework 3.xlsx]My Data (Analysis on Side)!PivotTable9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Data (Analysis on Side)'!$X$6:$X$7</c:f>
              <c:strCache>
                <c:ptCount val="1"/>
                <c:pt idx="0">
                  <c:v>1989</c:v>
                </c:pt>
              </c:strCache>
            </c:strRef>
          </c:tx>
          <c:spPr>
            <a:solidFill>
              <a:schemeClr val="accent1"/>
            </a:solidFill>
            <a:ln>
              <a:noFill/>
            </a:ln>
            <a:effectLst/>
          </c:spPr>
          <c:invertIfNegative val="0"/>
          <c:cat>
            <c:strRef>
              <c:f>'My Data (Analysis on Side)'!$W$8</c:f>
              <c:strCache>
                <c:ptCount val="1"/>
                <c:pt idx="0">
                  <c:v>Total</c:v>
                </c:pt>
              </c:strCache>
            </c:strRef>
          </c:cat>
          <c:val>
            <c:numRef>
              <c:f>'My Data (Analysis on Side)'!$X$8</c:f>
              <c:numCache>
                <c:formatCode>General</c:formatCode>
                <c:ptCount val="1"/>
                <c:pt idx="0">
                  <c:v>0.64938461538461545</c:v>
                </c:pt>
              </c:numCache>
            </c:numRef>
          </c:val>
          <c:extLst>
            <c:ext xmlns:c16="http://schemas.microsoft.com/office/drawing/2014/chart" uri="{C3380CC4-5D6E-409C-BE32-E72D297353CC}">
              <c16:uniqueId val="{00000000-69CF-7E41-9DB9-263199AE7E70}"/>
            </c:ext>
          </c:extLst>
        </c:ser>
        <c:ser>
          <c:idx val="1"/>
          <c:order val="1"/>
          <c:tx>
            <c:strRef>
              <c:f>'My Data (Analysis on Side)'!$Y$6:$Y$7</c:f>
              <c:strCache>
                <c:ptCount val="1"/>
                <c:pt idx="0">
                  <c:v>1989 (Deluxe Edition)</c:v>
                </c:pt>
              </c:strCache>
            </c:strRef>
          </c:tx>
          <c:spPr>
            <a:solidFill>
              <a:schemeClr val="accent2"/>
            </a:solidFill>
            <a:ln>
              <a:noFill/>
            </a:ln>
            <a:effectLst/>
          </c:spPr>
          <c:invertIfNegative val="0"/>
          <c:cat>
            <c:strRef>
              <c:f>'My Data (Analysis on Side)'!$W$8</c:f>
              <c:strCache>
                <c:ptCount val="1"/>
                <c:pt idx="0">
                  <c:v>Total</c:v>
                </c:pt>
              </c:strCache>
            </c:strRef>
          </c:cat>
          <c:val>
            <c:numRef>
              <c:f>'My Data (Analysis on Side)'!$Y$8</c:f>
              <c:numCache>
                <c:formatCode>General</c:formatCode>
                <c:ptCount val="1"/>
                <c:pt idx="0">
                  <c:v>0.63321052631578956</c:v>
                </c:pt>
              </c:numCache>
            </c:numRef>
          </c:val>
          <c:extLst>
            <c:ext xmlns:c16="http://schemas.microsoft.com/office/drawing/2014/chart" uri="{C3380CC4-5D6E-409C-BE32-E72D297353CC}">
              <c16:uniqueId val="{00000001-69CF-7E41-9DB9-263199AE7E70}"/>
            </c:ext>
          </c:extLst>
        </c:ser>
        <c:ser>
          <c:idx val="2"/>
          <c:order val="2"/>
          <c:tx>
            <c:strRef>
              <c:f>'My Data (Analysis on Side)'!$Z$6:$Z$7</c:f>
              <c:strCache>
                <c:ptCount val="1"/>
                <c:pt idx="0">
                  <c:v>1989 (Taylor's Version)</c:v>
                </c:pt>
              </c:strCache>
            </c:strRef>
          </c:tx>
          <c:spPr>
            <a:solidFill>
              <a:schemeClr val="accent3"/>
            </a:solidFill>
            <a:ln>
              <a:noFill/>
            </a:ln>
            <a:effectLst/>
          </c:spPr>
          <c:invertIfNegative val="0"/>
          <c:cat>
            <c:strRef>
              <c:f>'My Data (Analysis on Side)'!$W$8</c:f>
              <c:strCache>
                <c:ptCount val="1"/>
                <c:pt idx="0">
                  <c:v>Total</c:v>
                </c:pt>
              </c:strCache>
            </c:strRef>
          </c:cat>
          <c:val>
            <c:numRef>
              <c:f>'My Data (Analysis on Side)'!$Z$8</c:f>
              <c:numCache>
                <c:formatCode>General</c:formatCode>
                <c:ptCount val="1"/>
                <c:pt idx="0">
                  <c:v>0.62757142857142867</c:v>
                </c:pt>
              </c:numCache>
            </c:numRef>
          </c:val>
          <c:extLst>
            <c:ext xmlns:c16="http://schemas.microsoft.com/office/drawing/2014/chart" uri="{C3380CC4-5D6E-409C-BE32-E72D297353CC}">
              <c16:uniqueId val="{00000002-69CF-7E41-9DB9-263199AE7E70}"/>
            </c:ext>
          </c:extLst>
        </c:ser>
        <c:ser>
          <c:idx val="3"/>
          <c:order val="3"/>
          <c:tx>
            <c:strRef>
              <c:f>'My Data (Analysis on Side)'!$AA$6:$AA$7</c:f>
              <c:strCache>
                <c:ptCount val="1"/>
                <c:pt idx="0">
                  <c:v>1989 (Taylor's Version) [Deluxe]</c:v>
                </c:pt>
              </c:strCache>
            </c:strRef>
          </c:tx>
          <c:spPr>
            <a:solidFill>
              <a:schemeClr val="accent4"/>
            </a:solidFill>
            <a:ln>
              <a:noFill/>
            </a:ln>
            <a:effectLst/>
          </c:spPr>
          <c:invertIfNegative val="0"/>
          <c:cat>
            <c:strRef>
              <c:f>'My Data (Analysis on Side)'!$W$8</c:f>
              <c:strCache>
                <c:ptCount val="1"/>
                <c:pt idx="0">
                  <c:v>Total</c:v>
                </c:pt>
              </c:strCache>
            </c:strRef>
          </c:cat>
          <c:val>
            <c:numRef>
              <c:f>'My Data (Analysis on Side)'!$AA$8</c:f>
              <c:numCache>
                <c:formatCode>General</c:formatCode>
                <c:ptCount val="1"/>
                <c:pt idx="0">
                  <c:v>0.62650000000000006</c:v>
                </c:pt>
              </c:numCache>
            </c:numRef>
          </c:val>
          <c:extLst>
            <c:ext xmlns:c16="http://schemas.microsoft.com/office/drawing/2014/chart" uri="{C3380CC4-5D6E-409C-BE32-E72D297353CC}">
              <c16:uniqueId val="{00000003-69CF-7E41-9DB9-263199AE7E70}"/>
            </c:ext>
          </c:extLst>
        </c:ser>
        <c:ser>
          <c:idx val="4"/>
          <c:order val="4"/>
          <c:tx>
            <c:strRef>
              <c:f>'My Data (Analysis on Side)'!$AB$6:$AB$7</c:f>
              <c:strCache>
                <c:ptCount val="1"/>
                <c:pt idx="0">
                  <c:v>evermore</c:v>
                </c:pt>
              </c:strCache>
            </c:strRef>
          </c:tx>
          <c:spPr>
            <a:solidFill>
              <a:schemeClr val="accent5"/>
            </a:solidFill>
            <a:ln>
              <a:noFill/>
            </a:ln>
            <a:effectLst/>
          </c:spPr>
          <c:invertIfNegative val="0"/>
          <c:cat>
            <c:strRef>
              <c:f>'My Data (Analysis on Side)'!$W$8</c:f>
              <c:strCache>
                <c:ptCount val="1"/>
                <c:pt idx="0">
                  <c:v>Total</c:v>
                </c:pt>
              </c:strCache>
            </c:strRef>
          </c:cat>
          <c:val>
            <c:numRef>
              <c:f>'My Data (Analysis on Side)'!$AB$8</c:f>
              <c:numCache>
                <c:formatCode>General</c:formatCode>
                <c:ptCount val="1"/>
                <c:pt idx="0">
                  <c:v>0.5188666666666667</c:v>
                </c:pt>
              </c:numCache>
            </c:numRef>
          </c:val>
          <c:extLst>
            <c:ext xmlns:c16="http://schemas.microsoft.com/office/drawing/2014/chart" uri="{C3380CC4-5D6E-409C-BE32-E72D297353CC}">
              <c16:uniqueId val="{00000004-69CF-7E41-9DB9-263199AE7E70}"/>
            </c:ext>
          </c:extLst>
        </c:ser>
        <c:ser>
          <c:idx val="5"/>
          <c:order val="5"/>
          <c:tx>
            <c:strRef>
              <c:f>'My Data (Analysis on Side)'!$AC$6:$AC$7</c:f>
              <c:strCache>
                <c:ptCount val="1"/>
                <c:pt idx="0">
                  <c:v>evermore (deluxe version)</c:v>
                </c:pt>
              </c:strCache>
            </c:strRef>
          </c:tx>
          <c:spPr>
            <a:solidFill>
              <a:schemeClr val="accent6"/>
            </a:solidFill>
            <a:ln>
              <a:noFill/>
            </a:ln>
            <a:effectLst/>
          </c:spPr>
          <c:invertIfNegative val="0"/>
          <c:cat>
            <c:strRef>
              <c:f>'My Data (Analysis on Side)'!$W$8</c:f>
              <c:strCache>
                <c:ptCount val="1"/>
                <c:pt idx="0">
                  <c:v>Total</c:v>
                </c:pt>
              </c:strCache>
            </c:strRef>
          </c:cat>
          <c:val>
            <c:numRef>
              <c:f>'My Data (Analysis on Side)'!$AC$8</c:f>
              <c:numCache>
                <c:formatCode>General</c:formatCode>
                <c:ptCount val="1"/>
                <c:pt idx="0">
                  <c:v>0.5268235294117648</c:v>
                </c:pt>
              </c:numCache>
            </c:numRef>
          </c:val>
          <c:extLst>
            <c:ext xmlns:c16="http://schemas.microsoft.com/office/drawing/2014/chart" uri="{C3380CC4-5D6E-409C-BE32-E72D297353CC}">
              <c16:uniqueId val="{00000005-69CF-7E41-9DB9-263199AE7E70}"/>
            </c:ext>
          </c:extLst>
        </c:ser>
        <c:ser>
          <c:idx val="6"/>
          <c:order val="6"/>
          <c:tx>
            <c:strRef>
              <c:f>'My Data (Analysis on Side)'!$AD$6:$AD$7</c:f>
              <c:strCache>
                <c:ptCount val="1"/>
                <c:pt idx="0">
                  <c:v>Fearless (Taylor's Version)</c:v>
                </c:pt>
              </c:strCache>
            </c:strRef>
          </c:tx>
          <c:spPr>
            <a:solidFill>
              <a:schemeClr val="accent1">
                <a:lumMod val="60000"/>
              </a:schemeClr>
            </a:solidFill>
            <a:ln>
              <a:noFill/>
            </a:ln>
            <a:effectLst/>
          </c:spPr>
          <c:invertIfNegative val="0"/>
          <c:cat>
            <c:strRef>
              <c:f>'My Data (Analysis on Side)'!$W$8</c:f>
              <c:strCache>
                <c:ptCount val="1"/>
                <c:pt idx="0">
                  <c:v>Total</c:v>
                </c:pt>
              </c:strCache>
            </c:strRef>
          </c:cat>
          <c:val>
            <c:numRef>
              <c:f>'My Data (Analysis on Side)'!$AD$8</c:f>
              <c:numCache>
                <c:formatCode>General</c:formatCode>
                <c:ptCount val="1"/>
                <c:pt idx="0">
                  <c:v>0.55103846153846159</c:v>
                </c:pt>
              </c:numCache>
            </c:numRef>
          </c:val>
          <c:extLst>
            <c:ext xmlns:c16="http://schemas.microsoft.com/office/drawing/2014/chart" uri="{C3380CC4-5D6E-409C-BE32-E72D297353CC}">
              <c16:uniqueId val="{00000006-69CF-7E41-9DB9-263199AE7E70}"/>
            </c:ext>
          </c:extLst>
        </c:ser>
        <c:ser>
          <c:idx val="7"/>
          <c:order val="7"/>
          <c:tx>
            <c:strRef>
              <c:f>'My Data (Analysis on Side)'!$AE$6:$AE$7</c:f>
              <c:strCache>
                <c:ptCount val="1"/>
                <c:pt idx="0">
                  <c:v>folklore</c:v>
                </c:pt>
              </c:strCache>
            </c:strRef>
          </c:tx>
          <c:spPr>
            <a:solidFill>
              <a:schemeClr val="accent2">
                <a:lumMod val="60000"/>
              </a:schemeClr>
            </a:solidFill>
            <a:ln>
              <a:noFill/>
            </a:ln>
            <a:effectLst/>
          </c:spPr>
          <c:invertIfNegative val="0"/>
          <c:cat>
            <c:strRef>
              <c:f>'My Data (Analysis on Side)'!$W$8</c:f>
              <c:strCache>
                <c:ptCount val="1"/>
                <c:pt idx="0">
                  <c:v>Total</c:v>
                </c:pt>
              </c:strCache>
            </c:strRef>
          </c:cat>
          <c:val>
            <c:numRef>
              <c:f>'My Data (Analysis on Side)'!$AE$8</c:f>
              <c:numCache>
                <c:formatCode>General</c:formatCode>
                <c:ptCount val="1"/>
                <c:pt idx="0">
                  <c:v>0.5575</c:v>
                </c:pt>
              </c:numCache>
            </c:numRef>
          </c:val>
          <c:extLst>
            <c:ext xmlns:c16="http://schemas.microsoft.com/office/drawing/2014/chart" uri="{C3380CC4-5D6E-409C-BE32-E72D297353CC}">
              <c16:uniqueId val="{00000007-69CF-7E41-9DB9-263199AE7E70}"/>
            </c:ext>
          </c:extLst>
        </c:ser>
        <c:ser>
          <c:idx val="8"/>
          <c:order val="8"/>
          <c:tx>
            <c:strRef>
              <c:f>'My Data (Analysis on Side)'!$AF$6:$AF$7</c:f>
              <c:strCache>
                <c:ptCount val="1"/>
                <c:pt idx="0">
                  <c:v>folklore (deluxe version)</c:v>
                </c:pt>
              </c:strCache>
            </c:strRef>
          </c:tx>
          <c:spPr>
            <a:solidFill>
              <a:schemeClr val="accent3">
                <a:lumMod val="60000"/>
              </a:schemeClr>
            </a:solidFill>
            <a:ln>
              <a:noFill/>
            </a:ln>
            <a:effectLst/>
          </c:spPr>
          <c:invertIfNegative val="0"/>
          <c:cat>
            <c:strRef>
              <c:f>'My Data (Analysis on Side)'!$W$8</c:f>
              <c:strCache>
                <c:ptCount val="1"/>
                <c:pt idx="0">
                  <c:v>Total</c:v>
                </c:pt>
              </c:strCache>
            </c:strRef>
          </c:cat>
          <c:val>
            <c:numRef>
              <c:f>'My Data (Analysis on Side)'!$AF$8</c:f>
              <c:numCache>
                <c:formatCode>General</c:formatCode>
                <c:ptCount val="1"/>
                <c:pt idx="0">
                  <c:v>0.54194117647058826</c:v>
                </c:pt>
              </c:numCache>
            </c:numRef>
          </c:val>
          <c:extLst>
            <c:ext xmlns:c16="http://schemas.microsoft.com/office/drawing/2014/chart" uri="{C3380CC4-5D6E-409C-BE32-E72D297353CC}">
              <c16:uniqueId val="{00000008-69CF-7E41-9DB9-263199AE7E70}"/>
            </c:ext>
          </c:extLst>
        </c:ser>
        <c:ser>
          <c:idx val="9"/>
          <c:order val="9"/>
          <c:tx>
            <c:strRef>
              <c:f>'My Data (Analysis on Side)'!$AG$6:$AG$7</c:f>
              <c:strCache>
                <c:ptCount val="1"/>
                <c:pt idx="0">
                  <c:v>folklore: the long pond studio sessions (from the Disney+ special) [deluxe edition]</c:v>
                </c:pt>
              </c:strCache>
            </c:strRef>
          </c:tx>
          <c:spPr>
            <a:solidFill>
              <a:schemeClr val="accent4">
                <a:lumMod val="60000"/>
              </a:schemeClr>
            </a:solidFill>
            <a:ln>
              <a:noFill/>
            </a:ln>
            <a:effectLst/>
          </c:spPr>
          <c:invertIfNegative val="0"/>
          <c:cat>
            <c:strRef>
              <c:f>'My Data (Analysis on Side)'!$W$8</c:f>
              <c:strCache>
                <c:ptCount val="1"/>
                <c:pt idx="0">
                  <c:v>Total</c:v>
                </c:pt>
              </c:strCache>
            </c:strRef>
          </c:cat>
          <c:val>
            <c:numRef>
              <c:f>'My Data (Analysis on Side)'!$AG$8</c:f>
              <c:numCache>
                <c:formatCode>General</c:formatCode>
                <c:ptCount val="1"/>
                <c:pt idx="0">
                  <c:v>0.55144117647058843</c:v>
                </c:pt>
              </c:numCache>
            </c:numRef>
          </c:val>
          <c:extLst>
            <c:ext xmlns:c16="http://schemas.microsoft.com/office/drawing/2014/chart" uri="{C3380CC4-5D6E-409C-BE32-E72D297353CC}">
              <c16:uniqueId val="{00000009-69CF-7E41-9DB9-263199AE7E70}"/>
            </c:ext>
          </c:extLst>
        </c:ser>
        <c:ser>
          <c:idx val="10"/>
          <c:order val="10"/>
          <c:tx>
            <c:strRef>
              <c:f>'My Data (Analysis on Side)'!$AH$6:$AH$7</c:f>
              <c:strCache>
                <c:ptCount val="1"/>
                <c:pt idx="0">
                  <c:v>Lover</c:v>
                </c:pt>
              </c:strCache>
            </c:strRef>
          </c:tx>
          <c:spPr>
            <a:solidFill>
              <a:schemeClr val="accent5">
                <a:lumMod val="60000"/>
              </a:schemeClr>
            </a:solidFill>
            <a:ln>
              <a:noFill/>
            </a:ln>
            <a:effectLst/>
          </c:spPr>
          <c:invertIfNegative val="0"/>
          <c:cat>
            <c:strRef>
              <c:f>'My Data (Analysis on Side)'!$W$8</c:f>
              <c:strCache>
                <c:ptCount val="1"/>
                <c:pt idx="0">
                  <c:v>Total</c:v>
                </c:pt>
              </c:strCache>
            </c:strRef>
          </c:cat>
          <c:val>
            <c:numRef>
              <c:f>'My Data (Analysis on Side)'!$AH$8</c:f>
              <c:numCache>
                <c:formatCode>General</c:formatCode>
                <c:ptCount val="1"/>
                <c:pt idx="0">
                  <c:v>0.65822222222222226</c:v>
                </c:pt>
              </c:numCache>
            </c:numRef>
          </c:val>
          <c:extLst>
            <c:ext xmlns:c16="http://schemas.microsoft.com/office/drawing/2014/chart" uri="{C3380CC4-5D6E-409C-BE32-E72D297353CC}">
              <c16:uniqueId val="{0000000A-69CF-7E41-9DB9-263199AE7E70}"/>
            </c:ext>
          </c:extLst>
        </c:ser>
        <c:ser>
          <c:idx val="11"/>
          <c:order val="11"/>
          <c:tx>
            <c:strRef>
              <c:f>'My Data (Analysis on Side)'!$AI$6:$AI$7</c:f>
              <c:strCache>
                <c:ptCount val="1"/>
                <c:pt idx="0">
                  <c:v>Midnights</c:v>
                </c:pt>
              </c:strCache>
            </c:strRef>
          </c:tx>
          <c:spPr>
            <a:solidFill>
              <a:schemeClr val="accent6">
                <a:lumMod val="60000"/>
              </a:schemeClr>
            </a:solidFill>
            <a:ln>
              <a:noFill/>
            </a:ln>
            <a:effectLst/>
          </c:spPr>
          <c:invertIfNegative val="0"/>
          <c:cat>
            <c:strRef>
              <c:f>'My Data (Analysis on Side)'!$W$8</c:f>
              <c:strCache>
                <c:ptCount val="1"/>
                <c:pt idx="0">
                  <c:v>Total</c:v>
                </c:pt>
              </c:strCache>
            </c:strRef>
          </c:cat>
          <c:val>
            <c:numRef>
              <c:f>'My Data (Analysis on Side)'!$AI$8</c:f>
              <c:numCache>
                <c:formatCode>General</c:formatCode>
                <c:ptCount val="1"/>
                <c:pt idx="0">
                  <c:v>0.63961538461538459</c:v>
                </c:pt>
              </c:numCache>
            </c:numRef>
          </c:val>
          <c:extLst>
            <c:ext xmlns:c16="http://schemas.microsoft.com/office/drawing/2014/chart" uri="{C3380CC4-5D6E-409C-BE32-E72D297353CC}">
              <c16:uniqueId val="{0000000B-69CF-7E41-9DB9-263199AE7E70}"/>
            </c:ext>
          </c:extLst>
        </c:ser>
        <c:ser>
          <c:idx val="12"/>
          <c:order val="12"/>
          <c:tx>
            <c:strRef>
              <c:f>'My Data (Analysis on Side)'!$AJ$6:$AJ$7</c:f>
              <c:strCache>
                <c:ptCount val="1"/>
                <c:pt idx="0">
                  <c:v>Midnights (3am Edition)</c:v>
                </c:pt>
              </c:strCache>
            </c:strRef>
          </c:tx>
          <c:spPr>
            <a:solidFill>
              <a:schemeClr val="accent1">
                <a:lumMod val="80000"/>
                <a:lumOff val="20000"/>
              </a:schemeClr>
            </a:solidFill>
            <a:ln>
              <a:noFill/>
            </a:ln>
            <a:effectLst/>
          </c:spPr>
          <c:invertIfNegative val="0"/>
          <c:cat>
            <c:strRef>
              <c:f>'My Data (Analysis on Side)'!$W$8</c:f>
              <c:strCache>
                <c:ptCount val="1"/>
                <c:pt idx="0">
                  <c:v>Total</c:v>
                </c:pt>
              </c:strCache>
            </c:strRef>
          </c:cat>
          <c:val>
            <c:numRef>
              <c:f>'My Data (Analysis on Side)'!$AJ$8</c:f>
              <c:numCache>
                <c:formatCode>General</c:formatCode>
                <c:ptCount val="1"/>
                <c:pt idx="0">
                  <c:v>0.62074999999999991</c:v>
                </c:pt>
              </c:numCache>
            </c:numRef>
          </c:val>
          <c:extLst>
            <c:ext xmlns:c16="http://schemas.microsoft.com/office/drawing/2014/chart" uri="{C3380CC4-5D6E-409C-BE32-E72D297353CC}">
              <c16:uniqueId val="{0000000C-69CF-7E41-9DB9-263199AE7E70}"/>
            </c:ext>
          </c:extLst>
        </c:ser>
        <c:ser>
          <c:idx val="13"/>
          <c:order val="13"/>
          <c:tx>
            <c:strRef>
              <c:f>'My Data (Analysis on Side)'!$AK$6:$AK$7</c:f>
              <c:strCache>
                <c:ptCount val="1"/>
                <c:pt idx="0">
                  <c:v>Midnights (The Til Dawn Edition)</c:v>
                </c:pt>
              </c:strCache>
            </c:strRef>
          </c:tx>
          <c:spPr>
            <a:solidFill>
              <a:schemeClr val="accent2">
                <a:lumMod val="80000"/>
                <a:lumOff val="20000"/>
              </a:schemeClr>
            </a:solidFill>
            <a:ln>
              <a:noFill/>
            </a:ln>
            <a:effectLst/>
          </c:spPr>
          <c:invertIfNegative val="0"/>
          <c:cat>
            <c:strRef>
              <c:f>'My Data (Analysis on Side)'!$W$8</c:f>
              <c:strCache>
                <c:ptCount val="1"/>
                <c:pt idx="0">
                  <c:v>Total</c:v>
                </c:pt>
              </c:strCache>
            </c:strRef>
          </c:cat>
          <c:val>
            <c:numRef>
              <c:f>'My Data (Analysis on Side)'!$AK$8</c:f>
              <c:numCache>
                <c:formatCode>General</c:formatCode>
                <c:ptCount val="1"/>
                <c:pt idx="0">
                  <c:v>0.62434782608695638</c:v>
                </c:pt>
              </c:numCache>
            </c:numRef>
          </c:val>
          <c:extLst>
            <c:ext xmlns:c16="http://schemas.microsoft.com/office/drawing/2014/chart" uri="{C3380CC4-5D6E-409C-BE32-E72D297353CC}">
              <c16:uniqueId val="{0000000D-69CF-7E41-9DB9-263199AE7E70}"/>
            </c:ext>
          </c:extLst>
        </c:ser>
        <c:ser>
          <c:idx val="14"/>
          <c:order val="14"/>
          <c:tx>
            <c:strRef>
              <c:f>'My Data (Analysis on Side)'!$AL$6:$AL$7</c:f>
              <c:strCache>
                <c:ptCount val="1"/>
                <c:pt idx="0">
                  <c:v>Red (Taylor's Version)</c:v>
                </c:pt>
              </c:strCache>
            </c:strRef>
          </c:tx>
          <c:spPr>
            <a:solidFill>
              <a:schemeClr val="accent3">
                <a:lumMod val="80000"/>
                <a:lumOff val="20000"/>
              </a:schemeClr>
            </a:solidFill>
            <a:ln>
              <a:noFill/>
            </a:ln>
            <a:effectLst/>
          </c:spPr>
          <c:invertIfNegative val="0"/>
          <c:cat>
            <c:strRef>
              <c:f>'My Data (Analysis on Side)'!$W$8</c:f>
              <c:strCache>
                <c:ptCount val="1"/>
                <c:pt idx="0">
                  <c:v>Total</c:v>
                </c:pt>
              </c:strCache>
            </c:strRef>
          </c:cat>
          <c:val>
            <c:numRef>
              <c:f>'My Data (Analysis on Side)'!$AL$8</c:f>
              <c:numCache>
                <c:formatCode>General</c:formatCode>
                <c:ptCount val="1"/>
                <c:pt idx="0">
                  <c:v>0.57696666666666674</c:v>
                </c:pt>
              </c:numCache>
            </c:numRef>
          </c:val>
          <c:extLst>
            <c:ext xmlns:c16="http://schemas.microsoft.com/office/drawing/2014/chart" uri="{C3380CC4-5D6E-409C-BE32-E72D297353CC}">
              <c16:uniqueId val="{0000000E-69CF-7E41-9DB9-263199AE7E70}"/>
            </c:ext>
          </c:extLst>
        </c:ser>
        <c:ser>
          <c:idx val="15"/>
          <c:order val="15"/>
          <c:tx>
            <c:strRef>
              <c:f>'My Data (Analysis on Side)'!$AM$6:$AM$7</c:f>
              <c:strCache>
                <c:ptCount val="1"/>
                <c:pt idx="0">
                  <c:v>reputation</c:v>
                </c:pt>
              </c:strCache>
            </c:strRef>
          </c:tx>
          <c:spPr>
            <a:solidFill>
              <a:schemeClr val="accent4">
                <a:lumMod val="80000"/>
                <a:lumOff val="20000"/>
              </a:schemeClr>
            </a:solidFill>
            <a:ln>
              <a:noFill/>
            </a:ln>
            <a:effectLst/>
          </c:spPr>
          <c:invertIfNegative val="0"/>
          <c:cat>
            <c:strRef>
              <c:f>'My Data (Analysis on Side)'!$W$8</c:f>
              <c:strCache>
                <c:ptCount val="1"/>
                <c:pt idx="0">
                  <c:v>Total</c:v>
                </c:pt>
              </c:strCache>
            </c:strRef>
          </c:cat>
          <c:val>
            <c:numRef>
              <c:f>'My Data (Analysis on Side)'!$AM$8</c:f>
              <c:numCache>
                <c:formatCode>General</c:formatCode>
                <c:ptCount val="1"/>
                <c:pt idx="0">
                  <c:v>0.65793333333333337</c:v>
                </c:pt>
              </c:numCache>
            </c:numRef>
          </c:val>
          <c:extLst>
            <c:ext xmlns:c16="http://schemas.microsoft.com/office/drawing/2014/chart" uri="{C3380CC4-5D6E-409C-BE32-E72D297353CC}">
              <c16:uniqueId val="{0000000F-69CF-7E41-9DB9-263199AE7E70}"/>
            </c:ext>
          </c:extLst>
        </c:ser>
        <c:ser>
          <c:idx val="16"/>
          <c:order val="16"/>
          <c:tx>
            <c:strRef>
              <c:f>'My Data (Analysis on Side)'!$AN$6:$AN$7</c:f>
              <c:strCache>
                <c:ptCount val="1"/>
                <c:pt idx="0">
                  <c:v>reputation Stadium Tour Surprise Song Playlist</c:v>
                </c:pt>
              </c:strCache>
            </c:strRef>
          </c:tx>
          <c:spPr>
            <a:solidFill>
              <a:schemeClr val="accent5">
                <a:lumMod val="80000"/>
                <a:lumOff val="20000"/>
              </a:schemeClr>
            </a:solidFill>
            <a:ln>
              <a:noFill/>
            </a:ln>
            <a:effectLst/>
          </c:spPr>
          <c:invertIfNegative val="0"/>
          <c:cat>
            <c:strRef>
              <c:f>'My Data (Analysis on Side)'!$W$8</c:f>
              <c:strCache>
                <c:ptCount val="1"/>
                <c:pt idx="0">
                  <c:v>Total</c:v>
                </c:pt>
              </c:strCache>
            </c:strRef>
          </c:cat>
          <c:val>
            <c:numRef>
              <c:f>'My Data (Analysis on Side)'!$AN$8</c:f>
              <c:numCache>
                <c:formatCode>General</c:formatCode>
                <c:ptCount val="1"/>
                <c:pt idx="0">
                  <c:v>0.59313043478260885</c:v>
                </c:pt>
              </c:numCache>
            </c:numRef>
          </c:val>
          <c:extLst>
            <c:ext xmlns:c16="http://schemas.microsoft.com/office/drawing/2014/chart" uri="{C3380CC4-5D6E-409C-BE32-E72D297353CC}">
              <c16:uniqueId val="{00000010-69CF-7E41-9DB9-263199AE7E70}"/>
            </c:ext>
          </c:extLst>
        </c:ser>
        <c:ser>
          <c:idx val="17"/>
          <c:order val="17"/>
          <c:tx>
            <c:strRef>
              <c:f>'My Data (Analysis on Side)'!$AO$6:$AO$7</c:f>
              <c:strCache>
                <c:ptCount val="1"/>
                <c:pt idx="0">
                  <c:v>Speak Now (Taylor's Version)</c:v>
                </c:pt>
              </c:strCache>
            </c:strRef>
          </c:tx>
          <c:spPr>
            <a:solidFill>
              <a:schemeClr val="accent6">
                <a:lumMod val="80000"/>
                <a:lumOff val="20000"/>
              </a:schemeClr>
            </a:solidFill>
            <a:ln>
              <a:noFill/>
            </a:ln>
            <a:effectLst/>
          </c:spPr>
          <c:invertIfNegative val="0"/>
          <c:cat>
            <c:strRef>
              <c:f>'My Data (Analysis on Side)'!$W$8</c:f>
              <c:strCache>
                <c:ptCount val="1"/>
                <c:pt idx="0">
                  <c:v>Total</c:v>
                </c:pt>
              </c:strCache>
            </c:strRef>
          </c:cat>
          <c:val>
            <c:numRef>
              <c:f>'My Data (Analysis on Side)'!$AO$8</c:f>
              <c:numCache>
                <c:formatCode>General</c:formatCode>
                <c:ptCount val="1"/>
                <c:pt idx="0">
                  <c:v>0.55563636363636371</c:v>
                </c:pt>
              </c:numCache>
            </c:numRef>
          </c:val>
          <c:extLst>
            <c:ext xmlns:c16="http://schemas.microsoft.com/office/drawing/2014/chart" uri="{C3380CC4-5D6E-409C-BE32-E72D297353CC}">
              <c16:uniqueId val="{00000011-69CF-7E41-9DB9-263199AE7E70}"/>
            </c:ext>
          </c:extLst>
        </c:ser>
        <c:ser>
          <c:idx val="18"/>
          <c:order val="18"/>
          <c:tx>
            <c:strRef>
              <c:f>'My Data (Analysis on Side)'!$AP$6:$AP$7</c:f>
              <c:strCache>
                <c:ptCount val="1"/>
                <c:pt idx="0">
                  <c:v>THE TORTURED POETS DEPARTMENT</c:v>
                </c:pt>
              </c:strCache>
            </c:strRef>
          </c:tx>
          <c:spPr>
            <a:solidFill>
              <a:schemeClr val="accent1">
                <a:lumMod val="80000"/>
              </a:schemeClr>
            </a:solidFill>
            <a:ln>
              <a:noFill/>
            </a:ln>
            <a:effectLst/>
          </c:spPr>
          <c:invertIfNegative val="0"/>
          <c:cat>
            <c:strRef>
              <c:f>'My Data (Analysis on Side)'!$W$8</c:f>
              <c:strCache>
                <c:ptCount val="1"/>
                <c:pt idx="0">
                  <c:v>Total</c:v>
                </c:pt>
              </c:strCache>
            </c:strRef>
          </c:cat>
          <c:val>
            <c:numRef>
              <c:f>'My Data (Analysis on Side)'!$AP$8</c:f>
              <c:numCache>
                <c:formatCode>General</c:formatCode>
                <c:ptCount val="1"/>
                <c:pt idx="0">
                  <c:v>0.55131249999999998</c:v>
                </c:pt>
              </c:numCache>
            </c:numRef>
          </c:val>
          <c:extLst>
            <c:ext xmlns:c16="http://schemas.microsoft.com/office/drawing/2014/chart" uri="{C3380CC4-5D6E-409C-BE32-E72D297353CC}">
              <c16:uniqueId val="{00000012-69CF-7E41-9DB9-263199AE7E70}"/>
            </c:ext>
          </c:extLst>
        </c:ser>
        <c:ser>
          <c:idx val="19"/>
          <c:order val="19"/>
          <c:tx>
            <c:strRef>
              <c:f>'My Data (Analysis on Side)'!$AQ$6:$AQ$7</c:f>
              <c:strCache>
                <c:ptCount val="1"/>
                <c:pt idx="0">
                  <c:v>THE TORTURED POETS DEPARTMENT: THE ANTHOLOGY</c:v>
                </c:pt>
              </c:strCache>
            </c:strRef>
          </c:tx>
          <c:spPr>
            <a:solidFill>
              <a:schemeClr val="accent2">
                <a:lumMod val="80000"/>
              </a:schemeClr>
            </a:solidFill>
            <a:ln>
              <a:noFill/>
            </a:ln>
            <a:effectLst/>
          </c:spPr>
          <c:invertIfNegative val="0"/>
          <c:cat>
            <c:strRef>
              <c:f>'My Data (Analysis on Side)'!$W$8</c:f>
              <c:strCache>
                <c:ptCount val="1"/>
                <c:pt idx="0">
                  <c:v>Total</c:v>
                </c:pt>
              </c:strCache>
            </c:strRef>
          </c:cat>
          <c:val>
            <c:numRef>
              <c:f>'My Data (Analysis on Side)'!$AQ$8</c:f>
              <c:numCache>
                <c:formatCode>General</c:formatCode>
                <c:ptCount val="1"/>
                <c:pt idx="0">
                  <c:v>0.53241935483870961</c:v>
                </c:pt>
              </c:numCache>
            </c:numRef>
          </c:val>
          <c:extLst>
            <c:ext xmlns:c16="http://schemas.microsoft.com/office/drawing/2014/chart" uri="{C3380CC4-5D6E-409C-BE32-E72D297353CC}">
              <c16:uniqueId val="{00000013-69CF-7E41-9DB9-263199AE7E70}"/>
            </c:ext>
          </c:extLst>
        </c:ser>
        <c:dLbls>
          <c:showLegendKey val="0"/>
          <c:showVal val="0"/>
          <c:showCatName val="0"/>
          <c:showSerName val="0"/>
          <c:showPercent val="0"/>
          <c:showBubbleSize val="0"/>
        </c:dLbls>
        <c:gapWidth val="219"/>
        <c:overlap val="-27"/>
        <c:axId val="1200437935"/>
        <c:axId val="1062972896"/>
      </c:barChart>
      <c:catAx>
        <c:axId val="120043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72896"/>
        <c:crosses val="autoZero"/>
        <c:auto val="1"/>
        <c:lblAlgn val="ctr"/>
        <c:lblOffset val="100"/>
        <c:noMultiLvlLbl val="0"/>
      </c:catAx>
      <c:valAx>
        <c:axId val="10629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37935"/>
        <c:crosses val="autoZero"/>
        <c:crossBetween val="between"/>
      </c:valAx>
      <c:spPr>
        <a:noFill/>
        <a:ln>
          <a:noFill/>
        </a:ln>
        <a:effectLst/>
      </c:spPr>
    </c:plotArea>
    <c:legend>
      <c:legendPos val="r"/>
      <c:layout>
        <c:manualLayout>
          <c:xMode val="edge"/>
          <c:yMode val="edge"/>
          <c:x val="0.65"/>
          <c:y val="5.8441601049868765E-2"/>
          <c:w val="0.33333333333333331"/>
          <c:h val="0.883116433362496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722310</xdr:colOff>
      <xdr:row>9</xdr:row>
      <xdr:rowOff>31747</xdr:rowOff>
    </xdr:from>
    <xdr:to>
      <xdr:col>32</xdr:col>
      <xdr:colOff>261936</xdr:colOff>
      <xdr:row>47</xdr:row>
      <xdr:rowOff>87311</xdr:rowOff>
    </xdr:to>
    <xdr:graphicFrame macro="">
      <xdr:nvGraphicFramePr>
        <xdr:cNvPr id="2" name="Chart 1">
          <a:extLst>
            <a:ext uri="{FF2B5EF4-FFF2-40B4-BE49-F238E27FC236}">
              <a16:creationId xmlns:a16="http://schemas.microsoft.com/office/drawing/2014/main" id="{987705C1-32B3-793F-AAF3-EFA481D44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91.832357638887" createdVersion="8" refreshedVersion="8" minRefreshableVersion="3" recordCount="434" xr:uid="{1496825A-4ECC-284F-9385-6162CA89AE58}">
  <cacheSource type="worksheet">
    <worksheetSource ref="A2:T436" sheet="My Data (Analysis on Side)"/>
  </cacheSource>
  <cacheFields count="20">
    <cacheField name="track_name" numFmtId="0">
      <sharedItems containsMixedTypes="1" containsNumber="1" containsInteger="1" minValue="22" maxValue="22"/>
    </cacheField>
    <cacheField name="track_id" numFmtId="0">
      <sharedItems/>
    </cacheField>
    <cacheField name="duration_ms" numFmtId="0">
      <sharedItems containsSemiMixedTypes="0" containsString="0" containsNumber="1" containsInteger="1" minValue="107133" maxValue="613026"/>
    </cacheField>
    <cacheField name="explicit" numFmtId="0">
      <sharedItems/>
    </cacheField>
    <cacheField name="track_number" numFmtId="0">
      <sharedItems containsSemiMixedTypes="0" containsString="0" containsNumber="1" containsInteger="1" minValue="1" maxValue="46"/>
    </cacheField>
    <cacheField name="album_id" numFmtId="0">
      <sharedItems/>
    </cacheField>
    <cacheField name="album_name" numFmtId="0">
      <sharedItems containsMixedTypes="1" containsNumber="1" containsInteger="1" minValue="1989" maxValue="1989" count="20">
        <s v="THE TORTURED POETS DEPARTMENT: THE ANTHOLOGY"/>
        <s v="THE TORTURED POETS DEPARTMENT"/>
        <s v="1989 (Taylor's Version) [Deluxe]"/>
        <s v="1989 (Taylor's Version)"/>
        <s v="Speak Now (Taylor's Version)"/>
        <s v="Midnights (The Til Dawn Edition)"/>
        <s v="Midnights (3am Edition)"/>
        <s v="Midnights"/>
        <s v="Red (Taylor's Version)"/>
        <s v="Fearless (Taylor's Version)"/>
        <s v="evermore (deluxe version)"/>
        <s v="evermore"/>
        <s v="folklore: the long pond studio sessions (from the Disney+ special) [deluxe edition]"/>
        <s v="folklore (deluxe version)"/>
        <s v="folklore"/>
        <s v="Lover"/>
        <s v="reputation"/>
        <s v="reputation Stadium Tour Surprise Song Playlist"/>
        <s v="1989 (Deluxe Edition)"/>
        <n v="1989"/>
      </sharedItems>
    </cacheField>
    <cacheField name="album_release_date" numFmtId="14">
      <sharedItems containsSemiMixedTypes="0" containsNonDate="0" containsDate="1" containsString="0" minDate="2014-10-27T00:00:00" maxDate="2024-04-20T00:00:00"/>
    </cacheField>
    <cacheField name="album_total_tracks" numFmtId="0">
      <sharedItems containsSemiMixedTypes="0" containsString="0" containsNumber="1" containsInteger="1" minValue="13" maxValue="46"/>
    </cacheField>
    <cacheField name="album_type" numFmtId="0">
      <sharedItems/>
    </cacheField>
    <cacheField name="artist_name" numFmtId="0">
      <sharedItems/>
    </cacheField>
    <cacheField name="artist_id" numFmtId="0">
      <sharedItems/>
    </cacheField>
    <cacheField name="danceability" numFmtId="0">
      <sharedItems containsSemiMixedTypes="0" containsString="0" containsNumber="1" minValue="0.17499999999999999" maxValue="0.89700000000000002"/>
    </cacheField>
    <cacheField name="energy" numFmtId="0">
      <sharedItems containsSemiMixedTypes="0" containsString="0" containsNumber="1" minValue="0.128" maxValue="0.94799999999999995"/>
    </cacheField>
    <cacheField name="loudness" numFmtId="0">
      <sharedItems containsSemiMixedTypes="0" containsString="0" containsNumber="1" minValue="-17.931999999999999" maxValue="-1.927"/>
    </cacheField>
    <cacheField name="speechiness" numFmtId="0">
      <sharedItems containsSemiMixedTypes="0" containsString="0" containsNumber="1" minValue="2.3400000000000001E-2" maxValue="0.91200000000000003"/>
    </cacheField>
    <cacheField name="acousticness" numFmtId="0">
      <sharedItems containsSemiMixedTypes="0" containsString="0" containsNumber="1" minValue="1.8200000000000001E-4" maxValue="0.97099999999999997"/>
    </cacheField>
    <cacheField name="instrumentalness" numFmtId="0">
      <sharedItems containsSemiMixedTypes="0" containsString="0" containsNumber="1" minValue="0" maxValue="0.33300000000000002"/>
    </cacheField>
    <cacheField name="liveness" numFmtId="0">
      <sharedItems containsSemiMixedTypes="0" containsString="0" containsNumber="1" minValue="3.5799999999999998E-2" maxValue="0.79100000000000004"/>
    </cacheField>
    <cacheField name="valence" numFmtId="0">
      <sharedItems containsSemiMixedTypes="0" containsString="0" containsNumber="1" minValue="3.8399999999999997E-2" maxValue="0.9429999999999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s v="Fortnight (feat. Post Malone)"/>
    <s v="6dODwocEuGzHAavXqTbwHv"/>
    <n v="228965"/>
    <b v="0"/>
    <n v="1"/>
    <s v="5H7ixXZfsNMGbIE5OBSpcb"/>
    <x v="0"/>
    <d v="2024-04-19T00:00:00"/>
    <n v="31"/>
    <s v="album"/>
    <s v="Taylor Swift"/>
    <s v="06HL4z0CvFAxyc27GXpf02"/>
    <n v="0.504"/>
    <n v="0.38600000000000001"/>
    <n v="-10.976000000000001"/>
    <n v="3.0800000000000001E-2"/>
    <n v="0.502"/>
    <n v="1.5299999999999999E-5"/>
    <n v="9.6100000000000005E-2"/>
    <n v="0.28100000000000003"/>
  </r>
  <r>
    <s v="The Tortured Poets Department"/>
    <s v="4PdLaGZubp4lghChqp8erB"/>
    <n v="293048"/>
    <b v="1"/>
    <n v="2"/>
    <s v="5H7ixXZfsNMGbIE5OBSpcb"/>
    <x v="0"/>
    <d v="2024-04-19T00:00:00"/>
    <n v="31"/>
    <s v="album"/>
    <s v="Taylor Swift"/>
    <s v="06HL4z0CvFAxyc27GXpf02"/>
    <n v="0.60399999999999998"/>
    <n v="0.42799999999999999"/>
    <n v="-8.4410000000000007"/>
    <n v="2.5499999999999998E-2"/>
    <n v="4.8300000000000003E-2"/>
    <n v="0"/>
    <n v="0.126"/>
    <n v="0.29199999999999998"/>
  </r>
  <r>
    <s v="My Boy Only Breaks His Favorite Toys"/>
    <s v="7uGYWMwRy24dm7RUDDhUlD"/>
    <n v="203801"/>
    <b v="0"/>
    <n v="3"/>
    <s v="5H7ixXZfsNMGbIE5OBSpcb"/>
    <x v="0"/>
    <d v="2024-04-19T00:00:00"/>
    <n v="31"/>
    <s v="album"/>
    <s v="Taylor Swift"/>
    <s v="06HL4z0CvFAxyc27GXpf02"/>
    <n v="0.59599999999999997"/>
    <n v="0.56299999999999994"/>
    <n v="-7.3620000000000001"/>
    <n v="2.69E-2"/>
    <n v="0.13700000000000001"/>
    <n v="0"/>
    <n v="0.30199999999999999"/>
    <n v="0.48099999999999998"/>
  </r>
  <r>
    <s v="Down Bad"/>
    <s v="1kbEbBdEgQdQeLXCJh28pJ"/>
    <n v="261228"/>
    <b v="1"/>
    <n v="4"/>
    <s v="5H7ixXZfsNMGbIE5OBSpcb"/>
    <x v="0"/>
    <d v="2024-04-19T00:00:00"/>
    <n v="31"/>
    <s v="album"/>
    <s v="Taylor Swift"/>
    <s v="06HL4z0CvFAxyc27GXpf02"/>
    <n v="0.54100000000000004"/>
    <n v="0.36599999999999999"/>
    <n v="-10.412000000000001"/>
    <n v="7.4800000000000005E-2"/>
    <n v="0.56000000000000005"/>
    <n v="9.9999999999999995E-7"/>
    <n v="9.4600000000000004E-2"/>
    <n v="0.16800000000000001"/>
  </r>
  <r>
    <s v="So Long, London"/>
    <s v="7wAkQFShJ27V8362MqevQr"/>
    <n v="262974"/>
    <b v="0"/>
    <n v="5"/>
    <s v="5H7ixXZfsNMGbIE5OBSpcb"/>
    <x v="0"/>
    <d v="2024-04-19T00:00:00"/>
    <n v="31"/>
    <s v="album"/>
    <s v="Taylor Swift"/>
    <s v="06HL4z0CvFAxyc27GXpf02"/>
    <n v="0.42299999999999999"/>
    <n v="0.53300000000000003"/>
    <n v="-11.388"/>
    <n v="0.32200000000000001"/>
    <n v="0.73"/>
    <n v="2.64E-3"/>
    <n v="8.1600000000000006E-2"/>
    <n v="0.248"/>
  </r>
  <r>
    <s v="But Daddy I Love Him"/>
    <s v="4QMgEffJQuKtjCNvqfRZ0m"/>
    <n v="340428"/>
    <b v="1"/>
    <n v="6"/>
    <s v="5H7ixXZfsNMGbIE5OBSpcb"/>
    <x v="0"/>
    <d v="2024-04-19T00:00:00"/>
    <n v="31"/>
    <s v="album"/>
    <s v="Taylor Swift"/>
    <s v="06HL4z0CvFAxyc27GXpf02"/>
    <n v="0.52100000000000002"/>
    <n v="0.72"/>
    <n v="-7.6840000000000002"/>
    <n v="0.104"/>
    <n v="0.38400000000000001"/>
    <n v="0"/>
    <n v="0.13500000000000001"/>
    <n v="0.438"/>
  </r>
  <r>
    <s v="Fresh Out The Slammer"/>
    <s v="7IWcDWOfiooH5hRs9XOVYz"/>
    <n v="210789"/>
    <b v="0"/>
    <n v="7"/>
    <s v="5H7ixXZfsNMGbIE5OBSpcb"/>
    <x v="0"/>
    <d v="2024-04-19T00:00:00"/>
    <n v="31"/>
    <s v="album"/>
    <s v="Taylor Swift"/>
    <s v="06HL4z0CvFAxyc27GXpf02"/>
    <n v="0.33"/>
    <n v="0.48299999999999998"/>
    <n v="-9.3940000000000001"/>
    <n v="3.9899999999999998E-2"/>
    <n v="0.624"/>
    <n v="0"/>
    <n v="0.111"/>
    <n v="0.34"/>
  </r>
  <r>
    <s v="Florida!!! (feat. Florence + The Machine)"/>
    <s v="5ExOm0dh4NyRyAdSAO9hyM"/>
    <n v="215463"/>
    <b v="1"/>
    <n v="8"/>
    <s v="5H7ixXZfsNMGbIE5OBSpcb"/>
    <x v="0"/>
    <d v="2024-04-19T00:00:00"/>
    <n v="31"/>
    <s v="album"/>
    <s v="Taylor Swift"/>
    <s v="06HL4z0CvFAxyc27GXpf02"/>
    <n v="0.53300000000000003"/>
    <n v="0.57299999999999995"/>
    <n v="-7.1230000000000002"/>
    <n v="0.13800000000000001"/>
    <n v="0.17799999999999999"/>
    <n v="0"/>
    <n v="0.309"/>
    <n v="0.39800000000000002"/>
  </r>
  <r>
    <s v="Guilty as Sin?"/>
    <s v="799KrpEbhZp0MHeiA8YK9P"/>
    <n v="254365"/>
    <b v="0"/>
    <n v="9"/>
    <s v="5H7ixXZfsNMGbIE5OBSpcb"/>
    <x v="0"/>
    <d v="2024-04-19T00:00:00"/>
    <n v="31"/>
    <s v="album"/>
    <s v="Taylor Swift"/>
    <s v="06HL4z0CvFAxyc27GXpf02"/>
    <n v="0.626"/>
    <n v="0.42799999999999999"/>
    <n v="-8.3740000000000006"/>
    <n v="2.6100000000000002E-2"/>
    <n v="0.60699999999999998"/>
    <n v="0"/>
    <n v="9.2100000000000001E-2"/>
    <n v="0.48699999999999999"/>
  </r>
  <r>
    <s v="Who’s Afraid of Little Old Me?"/>
    <s v="2d8UxVNhJinc8uat9PoM9y"/>
    <n v="334084"/>
    <b v="0"/>
    <n v="10"/>
    <s v="5H7ixXZfsNMGbIE5OBSpcb"/>
    <x v="0"/>
    <d v="2024-04-19T00:00:00"/>
    <n v="31"/>
    <s v="album"/>
    <s v="Taylor Swift"/>
    <s v="06HL4z0CvFAxyc27GXpf02"/>
    <n v="0.60599999999999998"/>
    <n v="0.33800000000000002"/>
    <n v="-10.555"/>
    <n v="4.8000000000000001E-2"/>
    <n v="0.315"/>
    <n v="0"/>
    <n v="0.106"/>
    <n v="0.23799999999999999"/>
  </r>
  <r>
    <s v="I Can Fix Him (No Really I Can)"/>
    <s v="5chnRTB9qMK3W1M41SnU9s"/>
    <n v="156297"/>
    <b v="0"/>
    <n v="11"/>
    <s v="5H7ixXZfsNMGbIE5OBSpcb"/>
    <x v="0"/>
    <d v="2024-04-19T00:00:00"/>
    <n v="31"/>
    <s v="album"/>
    <s v="Taylor Swift"/>
    <s v="06HL4z0CvFAxyc27GXpf02"/>
    <n v="0.66100000000000003"/>
    <n v="0.25700000000000001"/>
    <n v="-13.961"/>
    <n v="4.4999999999999998E-2"/>
    <n v="0.76800000000000002"/>
    <n v="1.72E-6"/>
    <n v="0.17599999999999999"/>
    <n v="0.318"/>
  </r>
  <r>
    <s v="loml"/>
    <s v="3YkNIrAvbKNrrwwEd7NVLl"/>
    <n v="277156"/>
    <b v="1"/>
    <n v="12"/>
    <s v="5H7ixXZfsNMGbIE5OBSpcb"/>
    <x v="0"/>
    <d v="2024-04-19T00:00:00"/>
    <n v="31"/>
    <s v="album"/>
    <s v="Taylor Swift"/>
    <s v="06HL4z0CvFAxyc27GXpf02"/>
    <n v="0.42299999999999999"/>
    <n v="0.27200000000000002"/>
    <n v="-12.56"/>
    <n v="4.8899999999999999E-2"/>
    <n v="0.85799999999999998"/>
    <n v="0"/>
    <n v="0.108"/>
    <n v="0.19500000000000001"/>
  </r>
  <r>
    <s v="I Can Do It With a Broken Heart"/>
    <s v="2fPvQfGQEZOKtJ9qXeL4x8"/>
    <n v="218004"/>
    <b v="1"/>
    <n v="13"/>
    <s v="5H7ixXZfsNMGbIE5OBSpcb"/>
    <x v="0"/>
    <d v="2024-04-19T00:00:00"/>
    <n v="31"/>
    <s v="album"/>
    <s v="Taylor Swift"/>
    <s v="06HL4z0CvFAxyc27GXpf02"/>
    <n v="0.70099999999999996"/>
    <n v="0.751"/>
    <n v="-8.39"/>
    <n v="5.0200000000000002E-2"/>
    <n v="0.123"/>
    <n v="0"/>
    <n v="0.15"/>
    <n v="0.22"/>
  </r>
  <r>
    <s v="The Smallest Man Who Ever Lived"/>
    <s v="1xtw1krCR6Dw2KwkXw5z63"/>
    <n v="245541"/>
    <b v="1"/>
    <n v="14"/>
    <s v="5H7ixXZfsNMGbIE5OBSpcb"/>
    <x v="0"/>
    <d v="2024-04-19T00:00:00"/>
    <n v="31"/>
    <s v="album"/>
    <s v="Taylor Swift"/>
    <s v="06HL4z0CvFAxyc27GXpf02"/>
    <n v="0.42599999999999999"/>
    <n v="0.41"/>
    <n v="-9.0830000000000002"/>
    <n v="5.8099999999999999E-2"/>
    <n v="0.52"/>
    <n v="0"/>
    <n v="0.33800000000000002"/>
    <n v="0.26300000000000001"/>
  </r>
  <r>
    <s v="The Alchemy"/>
    <s v="1tuNqJOtRQVHvONR8Lg3MZ"/>
    <n v="196900"/>
    <b v="0"/>
    <n v="15"/>
    <s v="5H7ixXZfsNMGbIE5OBSpcb"/>
    <x v="0"/>
    <d v="2024-04-19T00:00:00"/>
    <n v="31"/>
    <s v="album"/>
    <s v="Taylor Swift"/>
    <s v="06HL4z0CvFAxyc27GXpf02"/>
    <n v="0.64"/>
    <n v="0.42099999999999999"/>
    <n v="-8.8019999999999996"/>
    <n v="2.7300000000000001E-2"/>
    <n v="0.42199999999999999"/>
    <n v="0"/>
    <n v="0.10299999999999999"/>
    <n v="0.35299999999999998"/>
  </r>
  <r>
    <s v="Clara Bow"/>
    <s v="4d9PtIEVij9jW5OaLinH66"/>
    <n v="216662"/>
    <b v="0"/>
    <n v="16"/>
    <s v="5H7ixXZfsNMGbIE5OBSpcb"/>
    <x v="0"/>
    <d v="2024-04-19T00:00:00"/>
    <n v="31"/>
    <s v="album"/>
    <s v="Taylor Swift"/>
    <s v="06HL4z0CvFAxyc27GXpf02"/>
    <n v="0.68600000000000005"/>
    <n v="0.318"/>
    <n v="-11.045999999999999"/>
    <n v="2.63E-2"/>
    <n v="0.63600000000000001"/>
    <n v="1.4400000000000001E-3"/>
    <n v="0.106"/>
    <n v="0.214"/>
  </r>
  <r>
    <s v="The Black Dog"/>
    <s v="62E2nR0od0M5HYxuYLaDz7"/>
    <n v="238857"/>
    <b v="1"/>
    <n v="17"/>
    <s v="5H7ixXZfsNMGbIE5OBSpcb"/>
    <x v="0"/>
    <d v="2024-04-19T00:00:00"/>
    <n v="31"/>
    <s v="album"/>
    <s v="Taylor Swift"/>
    <s v="06HL4z0CvFAxyc27GXpf02"/>
    <n v="0.52700000000000002"/>
    <n v="0.27"/>
    <n v="-10.855"/>
    <n v="3.7999999999999999E-2"/>
    <n v="0.70699999999999996"/>
    <n v="0"/>
    <n v="0.10199999999999999"/>
    <n v="0.23"/>
  </r>
  <r>
    <s v="imgonnagetyouback"/>
    <s v="1kcwpPDQnqEqmezzXdJTCP"/>
    <n v="222072"/>
    <b v="0"/>
    <n v="18"/>
    <s v="5H7ixXZfsNMGbIE5OBSpcb"/>
    <x v="0"/>
    <d v="2024-04-19T00:00:00"/>
    <n v="31"/>
    <s v="album"/>
    <s v="Taylor Swift"/>
    <s v="06HL4z0CvFAxyc27GXpf02"/>
    <n v="0.78400000000000003"/>
    <n v="0.39100000000000001"/>
    <n v="-9.4710000000000001"/>
    <n v="6.3299999999999995E-2"/>
    <n v="0.60799999999999998"/>
    <n v="0"/>
    <n v="0.252"/>
    <n v="0.15"/>
  </r>
  <r>
    <s v="The Albatross"/>
    <s v="4EF6IyONolQy0bIQXm2EmX"/>
    <n v="183878"/>
    <b v="0"/>
    <n v="19"/>
    <s v="5H7ixXZfsNMGbIE5OBSpcb"/>
    <x v="0"/>
    <d v="2024-04-19T00:00:00"/>
    <n v="31"/>
    <s v="album"/>
    <s v="Taylor Swift"/>
    <s v="06HL4z0CvFAxyc27GXpf02"/>
    <n v="0.35199999999999998"/>
    <n v="0.47899999999999998"/>
    <n v="-8.9420000000000002"/>
    <n v="5.8299999999999998E-2"/>
    <n v="0.65500000000000003"/>
    <n v="0"/>
    <n v="9.35E-2"/>
    <n v="0.29199999999999998"/>
  </r>
  <r>
    <s v="Chloe or Sam or Sophia or Marcus"/>
    <s v="1rmEsOezwf2lmIZTMAO5Ag"/>
    <n v="213281"/>
    <b v="0"/>
    <n v="20"/>
    <s v="5H7ixXZfsNMGbIE5OBSpcb"/>
    <x v="0"/>
    <d v="2024-04-19T00:00:00"/>
    <n v="31"/>
    <s v="album"/>
    <s v="Taylor Swift"/>
    <s v="06HL4z0CvFAxyc27GXpf02"/>
    <n v="0.51600000000000001"/>
    <n v="0.45100000000000001"/>
    <n v="-8.5519999999999996"/>
    <n v="4.4600000000000001E-2"/>
    <n v="0.78"/>
    <n v="0"/>
    <n v="0.105"/>
    <n v="0.218"/>
  </r>
  <r>
    <s v="How Did It End?"/>
    <s v="5Bedn0svl0ZD7RGmJkmKKw"/>
    <n v="238706"/>
    <b v="0"/>
    <n v="21"/>
    <s v="5H7ixXZfsNMGbIE5OBSpcb"/>
    <x v="0"/>
    <d v="2024-04-19T00:00:00"/>
    <n v="31"/>
    <s v="album"/>
    <s v="Taylor Swift"/>
    <s v="06HL4z0CvFAxyc27GXpf02"/>
    <n v="0.49199999999999999"/>
    <n v="0.379"/>
    <n v="-8.859"/>
    <n v="2.5700000000000001E-2"/>
    <n v="0.78500000000000003"/>
    <n v="9.3000000000000005E-4"/>
    <n v="0.108"/>
    <n v="0.27300000000000002"/>
  </r>
  <r>
    <s v="So High School"/>
    <s v="7Mts0OfPorF4iwOomvfqn1"/>
    <n v="228800"/>
    <b v="0"/>
    <n v="22"/>
    <s v="5H7ixXZfsNMGbIE5OBSpcb"/>
    <x v="0"/>
    <d v="2024-04-19T00:00:00"/>
    <n v="31"/>
    <s v="album"/>
    <s v="Taylor Swift"/>
    <s v="06HL4z0CvFAxyc27GXpf02"/>
    <n v="0.36599999999999999"/>
    <n v="0.86599999999999999"/>
    <n v="-4.5140000000000002"/>
    <n v="4.6600000000000003E-2"/>
    <n v="2.7400000000000001E-2"/>
    <n v="3.0699999999999998E-6"/>
    <n v="0.106"/>
    <n v="0.29299999999999998"/>
  </r>
  <r>
    <s v="I Hate It Here"/>
    <s v="3hlGuz3loYoLfI3bpwieWq"/>
    <n v="243875"/>
    <b v="0"/>
    <n v="23"/>
    <s v="5H7ixXZfsNMGbIE5OBSpcb"/>
    <x v="0"/>
    <d v="2024-04-19T00:00:00"/>
    <n v="31"/>
    <s v="album"/>
    <s v="Taylor Swift"/>
    <s v="06HL4z0CvFAxyc27GXpf02"/>
    <n v="0.48499999999999999"/>
    <n v="0.56200000000000006"/>
    <n v="-7.1970000000000001"/>
    <n v="3.4599999999999999E-2"/>
    <n v="0.71699999999999997"/>
    <n v="0"/>
    <n v="0.35699999999999998"/>
    <n v="0.29699999999999999"/>
  </r>
  <r>
    <s v="thanK you aIMee"/>
    <s v="7ogK4lJDVDMU6A6vYR5rvD"/>
    <n v="263817"/>
    <b v="1"/>
    <n v="24"/>
    <s v="5H7ixXZfsNMGbIE5OBSpcb"/>
    <x v="0"/>
    <d v="2024-04-19T00:00:00"/>
    <n v="31"/>
    <s v="album"/>
    <s v="Taylor Swift"/>
    <s v="06HL4z0CvFAxyc27GXpf02"/>
    <n v="0.60899999999999999"/>
    <n v="0.54100000000000004"/>
    <n v="-8.0129999999999999"/>
    <n v="3.4599999999999999E-2"/>
    <n v="0.60899999999999999"/>
    <n v="0"/>
    <n v="0.122"/>
    <n v="0.252"/>
  </r>
  <r>
    <s v="I Look in People's Windows"/>
    <s v="1Zai5UJ2di3qEuR2HeT2s8"/>
    <n v="131907"/>
    <b v="0"/>
    <n v="25"/>
    <s v="5H7ixXZfsNMGbIE5OBSpcb"/>
    <x v="0"/>
    <d v="2024-04-19T00:00:00"/>
    <n v="31"/>
    <s v="album"/>
    <s v="Taylor Swift"/>
    <s v="06HL4z0CvFAxyc27GXpf02"/>
    <n v="0.76300000000000001"/>
    <n v="0.27400000000000002"/>
    <n v="-11.429"/>
    <n v="7.3800000000000004E-2"/>
    <n v="0.69"/>
    <n v="0"/>
    <n v="0.16400000000000001"/>
    <n v="0.38500000000000001"/>
  </r>
  <r>
    <s v="The Prophecy"/>
    <s v="18WFFUIsewmA8g31KAeo3e"/>
    <n v="249807"/>
    <b v="0"/>
    <n v="26"/>
    <s v="5H7ixXZfsNMGbIE5OBSpcb"/>
    <x v="0"/>
    <d v="2024-04-19T00:00:00"/>
    <n v="31"/>
    <s v="album"/>
    <s v="Taylor Swift"/>
    <s v="06HL4z0CvFAxyc27GXpf02"/>
    <n v="0.42099999999999999"/>
    <n v="0.52500000000000002"/>
    <n v="-10.359"/>
    <n v="4.7199999999999999E-2"/>
    <n v="0.82499999999999996"/>
    <n v="2.6699999999999998E-6"/>
    <n v="0.308"/>
    <n v="0.53500000000000003"/>
  </r>
  <r>
    <s v="Cassandra"/>
    <s v="0g4fMVo4JjwnIpTfFfLdxS"/>
    <n v="240205"/>
    <b v="1"/>
    <n v="27"/>
    <s v="5H7ixXZfsNMGbIE5OBSpcb"/>
    <x v="0"/>
    <d v="2024-04-19T00:00:00"/>
    <n v="31"/>
    <s v="album"/>
    <s v="Taylor Swift"/>
    <s v="06HL4z0CvFAxyc27GXpf02"/>
    <n v="0.58699999999999997"/>
    <n v="0.58699999999999997"/>
    <n v="-9.8789999999999996"/>
    <n v="5.9499999999999997E-2"/>
    <n v="0.80600000000000005"/>
    <n v="0"/>
    <n v="0.13700000000000001"/>
    <n v="0.51400000000000001"/>
  </r>
  <r>
    <s v="Peter"/>
    <s v="3zMDGj4D8ogaYgAIZPeU7S"/>
    <n v="283957"/>
    <b v="0"/>
    <n v="28"/>
    <s v="5H7ixXZfsNMGbIE5OBSpcb"/>
    <x v="0"/>
    <d v="2024-04-19T00:00:00"/>
    <n v="31"/>
    <s v="album"/>
    <s v="Taylor Swift"/>
    <s v="06HL4z0CvFAxyc27GXpf02"/>
    <n v="0.34200000000000003"/>
    <n v="0.376"/>
    <n v="-8.2119999999999997"/>
    <n v="3.7199999999999997E-2"/>
    <n v="0.80500000000000005"/>
    <n v="0"/>
    <n v="5.9299999999999999E-2"/>
    <n v="0.28999999999999998"/>
  </r>
  <r>
    <s v="The Bolter"/>
    <s v="2913xXOVAIDAqxzV2g4VcU"/>
    <n v="238241"/>
    <b v="1"/>
    <n v="29"/>
    <s v="5H7ixXZfsNMGbIE5OBSpcb"/>
    <x v="0"/>
    <d v="2024-04-19T00:00:00"/>
    <n v="31"/>
    <s v="album"/>
    <s v="Taylor Swift"/>
    <s v="06HL4z0CvFAxyc27GXpf02"/>
    <n v="0.45500000000000002"/>
    <n v="0.58599999999999997"/>
    <n v="-7.9779999999999998"/>
    <n v="4.9200000000000001E-2"/>
    <n v="0.63800000000000001"/>
    <n v="0"/>
    <n v="0.13100000000000001"/>
    <n v="0.48099999999999998"/>
  </r>
  <r>
    <s v="Robin"/>
    <s v="2CnjDMdpRjlWv04Xk3s6MW"/>
    <n v="240893"/>
    <b v="0"/>
    <n v="30"/>
    <s v="5H7ixXZfsNMGbIE5OBSpcb"/>
    <x v="0"/>
    <d v="2024-04-19T00:00:00"/>
    <n v="31"/>
    <s v="album"/>
    <s v="Taylor Swift"/>
    <s v="06HL4z0CvFAxyc27GXpf02"/>
    <n v="0.47599999999999998"/>
    <n v="0.38600000000000001"/>
    <n v="-10.601000000000001"/>
    <n v="0.03"/>
    <n v="0.79100000000000004"/>
    <n v="4.2299999999999998E-4"/>
    <n v="0.1"/>
    <n v="0.158"/>
  </r>
  <r>
    <s v="The Manuscript"/>
    <s v="1DTRUYVd8rYpla9hhVVwjo"/>
    <n v="224743"/>
    <b v="0"/>
    <n v="31"/>
    <s v="5H7ixXZfsNMGbIE5OBSpcb"/>
    <x v="0"/>
    <d v="2024-04-19T00:00:00"/>
    <n v="31"/>
    <s v="album"/>
    <s v="Taylor Swift"/>
    <s v="06HL4z0CvFAxyc27GXpf02"/>
    <n v="0.50900000000000001"/>
    <n v="0.25600000000000001"/>
    <n v="-11.664999999999999"/>
    <n v="3.0599999999999999E-2"/>
    <n v="0.90100000000000002"/>
    <n v="2.43E-6"/>
    <n v="0.10299999999999999"/>
    <n v="0.436"/>
  </r>
  <r>
    <s v="Fortnight (feat. Post Malone)"/>
    <s v="2OzhQlSqBEmt7hmkYxfT6m"/>
    <n v="228965"/>
    <b v="0"/>
    <n v="1"/>
    <s v="1Mo4aZ8pdj6L1jx8zSwJnt"/>
    <x v="1"/>
    <d v="2024-04-18T00:00:00"/>
    <n v="16"/>
    <s v="album"/>
    <s v="Taylor Swift"/>
    <s v="06HL4z0CvFAxyc27GXpf02"/>
    <n v="0.504"/>
    <n v="0.38600000000000001"/>
    <n v="-10.976000000000001"/>
    <n v="3.0800000000000001E-2"/>
    <n v="0.502"/>
    <n v="1.5299999999999999E-5"/>
    <n v="9.6100000000000005E-2"/>
    <n v="0.28100000000000003"/>
  </r>
  <r>
    <s v="The Tortured Poets Department"/>
    <s v="3NMrVbIVWT3fPXBj0rNDKG"/>
    <n v="293048"/>
    <b v="1"/>
    <n v="2"/>
    <s v="1Mo4aZ8pdj6L1jx8zSwJnt"/>
    <x v="1"/>
    <d v="2024-04-18T00:00:00"/>
    <n v="16"/>
    <s v="album"/>
    <s v="Taylor Swift"/>
    <s v="06HL4z0CvFAxyc27GXpf02"/>
    <n v="0.60399999999999998"/>
    <n v="0.42799999999999999"/>
    <n v="-8.4410000000000007"/>
    <n v="2.5499999999999998E-2"/>
    <n v="4.8300000000000003E-2"/>
    <n v="0"/>
    <n v="0.126"/>
    <n v="0.29199999999999998"/>
  </r>
  <r>
    <s v="My Boy Only Breaks His Favorite Toys"/>
    <s v="2XXwLdtuAcE0HSCu61ijAb"/>
    <n v="203801"/>
    <b v="0"/>
    <n v="3"/>
    <s v="1Mo4aZ8pdj6L1jx8zSwJnt"/>
    <x v="1"/>
    <d v="2024-04-18T00:00:00"/>
    <n v="16"/>
    <s v="album"/>
    <s v="Taylor Swift"/>
    <s v="06HL4z0CvFAxyc27GXpf02"/>
    <n v="0.59599999999999997"/>
    <n v="0.56299999999999994"/>
    <n v="-7.3620000000000001"/>
    <n v="2.69E-2"/>
    <n v="0.13700000000000001"/>
    <n v="0"/>
    <n v="0.30199999999999999"/>
    <n v="0.48099999999999998"/>
  </r>
  <r>
    <s v="Down Bad"/>
    <s v="2F3N9tdombb64aW6VtZOdo"/>
    <n v="261228"/>
    <b v="1"/>
    <n v="4"/>
    <s v="1Mo4aZ8pdj6L1jx8zSwJnt"/>
    <x v="1"/>
    <d v="2024-04-18T00:00:00"/>
    <n v="16"/>
    <s v="album"/>
    <s v="Taylor Swift"/>
    <s v="06HL4z0CvFAxyc27GXpf02"/>
    <n v="0.54100000000000004"/>
    <n v="0.36599999999999999"/>
    <n v="-10.412000000000001"/>
    <n v="7.4800000000000005E-2"/>
    <n v="0.56000000000000005"/>
    <n v="9.9999999999999995E-7"/>
    <n v="9.4600000000000004E-2"/>
    <n v="0.16800000000000001"/>
  </r>
  <r>
    <s v="So Long, London"/>
    <s v="3Vevii7qKqrmW8CcyzBHDl"/>
    <n v="262974"/>
    <b v="0"/>
    <n v="5"/>
    <s v="1Mo4aZ8pdj6L1jx8zSwJnt"/>
    <x v="1"/>
    <d v="2024-04-18T00:00:00"/>
    <n v="16"/>
    <s v="album"/>
    <s v="Taylor Swift"/>
    <s v="06HL4z0CvFAxyc27GXpf02"/>
    <n v="0.42299999999999999"/>
    <n v="0.53300000000000003"/>
    <n v="-11.388"/>
    <n v="0.32200000000000001"/>
    <n v="0.73"/>
    <n v="2.64E-3"/>
    <n v="8.1600000000000006E-2"/>
    <n v="0.248"/>
  </r>
  <r>
    <s v="But Daddy I Love Him"/>
    <s v="5og4Qzt92jJzVDkOtSEilb"/>
    <n v="340428"/>
    <b v="1"/>
    <n v="6"/>
    <s v="1Mo4aZ8pdj6L1jx8zSwJnt"/>
    <x v="1"/>
    <d v="2024-04-18T00:00:00"/>
    <n v="16"/>
    <s v="album"/>
    <s v="Taylor Swift"/>
    <s v="06HL4z0CvFAxyc27GXpf02"/>
    <n v="0.52100000000000002"/>
    <n v="0.72"/>
    <n v="-7.6840000000000002"/>
    <n v="0.104"/>
    <n v="0.38400000000000001"/>
    <n v="0"/>
    <n v="0.13500000000000001"/>
    <n v="0.438"/>
  </r>
  <r>
    <s v="Fresh Out The Slammer"/>
    <s v="3fO566xJgwxIa3qGCGBvIC"/>
    <n v="210789"/>
    <b v="0"/>
    <n v="7"/>
    <s v="1Mo4aZ8pdj6L1jx8zSwJnt"/>
    <x v="1"/>
    <d v="2024-04-18T00:00:00"/>
    <n v="16"/>
    <s v="album"/>
    <s v="Taylor Swift"/>
    <s v="06HL4z0CvFAxyc27GXpf02"/>
    <n v="0.33"/>
    <n v="0.48299999999999998"/>
    <n v="-9.3940000000000001"/>
    <n v="3.9899999999999998E-2"/>
    <n v="0.624"/>
    <n v="0"/>
    <n v="0.111"/>
    <n v="0.34"/>
  </r>
  <r>
    <s v="Florida!!! (feat. Florence + The Machine)"/>
    <s v="3ZVFcD8Wlw9T9klGqmJf9F"/>
    <n v="215463"/>
    <b v="1"/>
    <n v="8"/>
    <s v="1Mo4aZ8pdj6L1jx8zSwJnt"/>
    <x v="1"/>
    <d v="2024-04-18T00:00:00"/>
    <n v="16"/>
    <s v="album"/>
    <s v="Taylor Swift"/>
    <s v="06HL4z0CvFAxyc27GXpf02"/>
    <n v="0.53300000000000003"/>
    <n v="0.57299999999999995"/>
    <n v="-7.1230000000000002"/>
    <n v="0.13800000000000001"/>
    <n v="0.17799999999999999"/>
    <n v="0"/>
    <n v="0.309"/>
    <n v="0.39800000000000002"/>
  </r>
  <r>
    <s v="Guilty as Sin?"/>
    <s v="0W0iAC1VGlB82PI6elxFYf"/>
    <n v="254365"/>
    <b v="0"/>
    <n v="9"/>
    <s v="1Mo4aZ8pdj6L1jx8zSwJnt"/>
    <x v="1"/>
    <d v="2024-04-18T00:00:00"/>
    <n v="16"/>
    <s v="album"/>
    <s v="Taylor Swift"/>
    <s v="06HL4z0CvFAxyc27GXpf02"/>
    <n v="0.626"/>
    <n v="0.42799999999999999"/>
    <n v="-8.3740000000000006"/>
    <n v="2.6100000000000002E-2"/>
    <n v="0.60699999999999998"/>
    <n v="0"/>
    <n v="9.2100000000000001E-2"/>
    <n v="0.48699999999999999"/>
  </r>
  <r>
    <s v="Who’s Afraid of Little Old Me?"/>
    <s v="36t6frENUtCYKuZus6aYDO"/>
    <n v="334084"/>
    <b v="0"/>
    <n v="10"/>
    <s v="1Mo4aZ8pdj6L1jx8zSwJnt"/>
    <x v="1"/>
    <d v="2024-04-18T00:00:00"/>
    <n v="16"/>
    <s v="album"/>
    <s v="Taylor Swift"/>
    <s v="06HL4z0CvFAxyc27GXpf02"/>
    <n v="0.60599999999999998"/>
    <n v="0.33800000000000002"/>
    <n v="-10.555"/>
    <n v="4.8000000000000001E-2"/>
    <n v="0.315"/>
    <n v="0"/>
    <n v="0.106"/>
    <n v="0.23799999999999999"/>
  </r>
  <r>
    <s v="I Can Fix Him (No Really I Can)"/>
    <s v="2h3MDMf8sd9s4XIzpTBIjX"/>
    <n v="156297"/>
    <b v="0"/>
    <n v="11"/>
    <s v="1Mo4aZ8pdj6L1jx8zSwJnt"/>
    <x v="1"/>
    <d v="2024-04-18T00:00:00"/>
    <n v="16"/>
    <s v="album"/>
    <s v="Taylor Swift"/>
    <s v="06HL4z0CvFAxyc27GXpf02"/>
    <n v="0.66100000000000003"/>
    <n v="0.25700000000000001"/>
    <n v="-13.961"/>
    <n v="4.4999999999999998E-2"/>
    <n v="0.76800000000000002"/>
    <n v="1.72E-6"/>
    <n v="0.17599999999999999"/>
    <n v="0.318"/>
  </r>
  <r>
    <s v="loml"/>
    <s v="6RSG1dKPV5gEvILwJb4QtS"/>
    <n v="277156"/>
    <b v="1"/>
    <n v="12"/>
    <s v="1Mo4aZ8pdj6L1jx8zSwJnt"/>
    <x v="1"/>
    <d v="2024-04-18T00:00:00"/>
    <n v="16"/>
    <s v="album"/>
    <s v="Taylor Swift"/>
    <s v="06HL4z0CvFAxyc27GXpf02"/>
    <n v="0.42299999999999999"/>
    <n v="0.27200000000000002"/>
    <n v="-12.56"/>
    <n v="4.8899999999999999E-2"/>
    <n v="0.85799999999999998"/>
    <n v="0"/>
    <n v="0.108"/>
    <n v="0.19500000000000001"/>
  </r>
  <r>
    <s v="I Can Do It With a Broken Heart"/>
    <s v="4q5YezDOIPcoLr8R81x9qy"/>
    <n v="218004"/>
    <b v="1"/>
    <n v="13"/>
    <s v="1Mo4aZ8pdj6L1jx8zSwJnt"/>
    <x v="1"/>
    <d v="2024-04-18T00:00:00"/>
    <n v="16"/>
    <s v="album"/>
    <s v="Taylor Swift"/>
    <s v="06HL4z0CvFAxyc27GXpf02"/>
    <n v="0.70099999999999996"/>
    <n v="0.751"/>
    <n v="-8.39"/>
    <n v="5.0200000000000002E-2"/>
    <n v="0.123"/>
    <n v="0"/>
    <n v="0.15"/>
    <n v="0.22"/>
  </r>
  <r>
    <s v="The Smallest Man Who Ever Lived"/>
    <s v="2v1ivOOsgn64g5OywuH55L"/>
    <n v="245541"/>
    <b v="1"/>
    <n v="14"/>
    <s v="1Mo4aZ8pdj6L1jx8zSwJnt"/>
    <x v="1"/>
    <d v="2024-04-18T00:00:00"/>
    <n v="16"/>
    <s v="album"/>
    <s v="Taylor Swift"/>
    <s v="06HL4z0CvFAxyc27GXpf02"/>
    <n v="0.42599999999999999"/>
    <n v="0.41"/>
    <n v="-9.0830000000000002"/>
    <n v="5.8099999999999999E-2"/>
    <n v="0.52"/>
    <n v="0"/>
    <n v="0.33800000000000002"/>
    <n v="0.26300000000000001"/>
  </r>
  <r>
    <s v="The Alchemy"/>
    <s v="1dhMTsEZz6ZEquGvmzVoHn"/>
    <n v="196900"/>
    <b v="0"/>
    <n v="15"/>
    <s v="1Mo4aZ8pdj6L1jx8zSwJnt"/>
    <x v="1"/>
    <d v="2024-04-18T00:00:00"/>
    <n v="16"/>
    <s v="album"/>
    <s v="Taylor Swift"/>
    <s v="06HL4z0CvFAxyc27GXpf02"/>
    <n v="0.64"/>
    <n v="0.42099999999999999"/>
    <n v="-8.8019999999999996"/>
    <n v="2.7300000000000001E-2"/>
    <n v="0.42199999999999999"/>
    <n v="0"/>
    <n v="0.10299999999999999"/>
    <n v="0.35299999999999998"/>
  </r>
  <r>
    <s v="Clara Bow"/>
    <s v="1UlhrRvYzbHEyugEDspXUB"/>
    <n v="216662"/>
    <b v="0"/>
    <n v="16"/>
    <s v="1Mo4aZ8pdj6L1jx8zSwJnt"/>
    <x v="1"/>
    <d v="2024-04-18T00:00:00"/>
    <n v="16"/>
    <s v="album"/>
    <s v="Taylor Swift"/>
    <s v="06HL4z0CvFAxyc27GXpf02"/>
    <n v="0.68600000000000005"/>
    <n v="0.318"/>
    <n v="-11.045999999999999"/>
    <n v="2.63E-2"/>
    <n v="0.63600000000000001"/>
    <n v="1.4400000000000001E-3"/>
    <n v="0.106"/>
    <n v="0.214"/>
  </r>
  <r>
    <s v="Welcome To New York (Taylor's Version)"/>
    <s v="4WUepByoeqcedHoYhSNHRt"/>
    <n v="212600"/>
    <b v="0"/>
    <n v="1"/>
    <s v="1o59UpKw81iHR0HPiSkJR0"/>
    <x v="2"/>
    <d v="2023-10-27T00:00:00"/>
    <n v="22"/>
    <s v="album"/>
    <s v="Taylor Swift"/>
    <s v="06HL4z0CvFAxyc27GXpf02"/>
    <n v="0.76"/>
    <n v="0.60199999999999998"/>
    <n v="-4.8710000000000004"/>
    <n v="3.1600000000000003E-2"/>
    <n v="6.6100000000000004E-3"/>
    <n v="1.3300000000000001E-4"/>
    <n v="0.32500000000000001"/>
    <n v="0.68500000000000005"/>
  </r>
  <r>
    <s v="Blank Space (Taylor's Version)"/>
    <s v="0108kcWLnn2HlH2kedi1gn"/>
    <n v="231833"/>
    <b v="0"/>
    <n v="2"/>
    <s v="1o59UpKw81iHR0HPiSkJR0"/>
    <x v="2"/>
    <d v="2023-10-27T00:00:00"/>
    <n v="22"/>
    <s v="album"/>
    <s v="Taylor Swift"/>
    <s v="06HL4z0CvFAxyc27GXpf02"/>
    <n v="0.73199999999999998"/>
    <n v="0.71899999999999997"/>
    <n v="-5.4690000000000003"/>
    <n v="6.4500000000000002E-2"/>
    <n v="9.01E-2"/>
    <n v="0"/>
    <n v="0.33100000000000002"/>
    <n v="0.71"/>
  </r>
  <r>
    <s v="Style (Taylor's Version)"/>
    <s v="3Vpk1hfMAQme8VJ0SNRSkd"/>
    <n v="231000"/>
    <b v="0"/>
    <n v="3"/>
    <s v="1o59UpKw81iHR0HPiSkJR0"/>
    <x v="2"/>
    <d v="2023-10-27T00:00:00"/>
    <n v="22"/>
    <s v="album"/>
    <s v="Taylor Swift"/>
    <s v="06HL4z0CvFAxyc27GXpf02"/>
    <n v="0.51400000000000001"/>
    <n v="0.82099999999999995"/>
    <n v="-4.8029999999999999"/>
    <n v="4.4400000000000002E-2"/>
    <n v="4.5600000000000003E-4"/>
    <n v="2.3199999999999998E-2"/>
    <n v="9.4600000000000004E-2"/>
    <n v="0.29799999999999999"/>
  </r>
  <r>
    <s v="Out Of The Woods (Taylor's Version)"/>
    <s v="1OcSfkeCg9hRC2sFKB4IMJ"/>
    <n v="235800"/>
    <b v="0"/>
    <n v="4"/>
    <s v="1o59UpKw81iHR0HPiSkJR0"/>
    <x v="2"/>
    <d v="2023-10-27T00:00:00"/>
    <n v="22"/>
    <s v="album"/>
    <s v="Taylor Swift"/>
    <s v="06HL4z0CvFAxyc27GXpf02"/>
    <n v="0.54400000000000004"/>
    <n v="0.88400000000000001"/>
    <n v="-5.9729999999999999"/>
    <n v="3.8300000000000001E-2"/>
    <n v="4.66E-4"/>
    <n v="1.34E-4"/>
    <n v="0.38100000000000001"/>
    <n v="0.184"/>
  </r>
  <r>
    <s v="All You Had To Do Was Stay (Taylor's Version)"/>
    <s v="2k0ZEeAqzvYMcx9Qt5aClQ"/>
    <n v="193289"/>
    <b v="0"/>
    <n v="5"/>
    <s v="1o59UpKw81iHR0HPiSkJR0"/>
    <x v="2"/>
    <d v="2023-10-27T00:00:00"/>
    <n v="22"/>
    <s v="album"/>
    <s v="Taylor Swift"/>
    <s v="06HL4z0CvFAxyc27GXpf02"/>
    <n v="0.58899999999999997"/>
    <n v="0.71299999999999997"/>
    <n v="-5.6139999999999999"/>
    <n v="3.0800000000000001E-2"/>
    <n v="7.7800000000000005E-4"/>
    <n v="0"/>
    <n v="0.188"/>
    <n v="0.54"/>
  </r>
  <r>
    <s v="Shake It Off (Taylor's Version)"/>
    <s v="50yNTF0Od55qnHLxYsA5Pw"/>
    <n v="219209"/>
    <b v="0"/>
    <n v="6"/>
    <s v="1o59UpKw81iHR0HPiSkJR0"/>
    <x v="2"/>
    <d v="2023-10-27T00:00:00"/>
    <n v="22"/>
    <s v="album"/>
    <s v="Taylor Swift"/>
    <s v="06HL4z0CvFAxyc27GXpf02"/>
    <n v="0.63200000000000001"/>
    <n v="0.80500000000000005"/>
    <n v="-5.7069999999999999"/>
    <n v="6.9000000000000006E-2"/>
    <n v="1.12E-2"/>
    <n v="2.51E-5"/>
    <n v="0.156"/>
    <n v="0.90300000000000002"/>
  </r>
  <r>
    <s v="I Wish You Would (Taylor's Version)"/>
    <s v="3FxJDucHWdw6caWTKO5b23"/>
    <n v="207650"/>
    <b v="0"/>
    <n v="7"/>
    <s v="1o59UpKw81iHR0HPiSkJR0"/>
    <x v="2"/>
    <d v="2023-10-27T00:00:00"/>
    <n v="22"/>
    <s v="album"/>
    <s v="Taylor Swift"/>
    <s v="06HL4z0CvFAxyc27GXpf02"/>
    <n v="0.67100000000000004"/>
    <n v="0.85299999999999998"/>
    <n v="-6.5679999999999996"/>
    <n v="4.1700000000000001E-2"/>
    <n v="3.8800000000000002E-3"/>
    <n v="9.4800000000000007E-6"/>
    <n v="8.1199999999999994E-2"/>
    <n v="0.52300000000000002"/>
  </r>
  <r>
    <s v="Bad Blood (Taylor's Version)"/>
    <s v="7oZONwFiFIErZcXAtTu7FY"/>
    <n v="211103"/>
    <b v="0"/>
    <n v="8"/>
    <s v="1o59UpKw81iHR0HPiSkJR0"/>
    <x v="2"/>
    <d v="2023-10-27T00:00:00"/>
    <n v="22"/>
    <s v="album"/>
    <s v="Taylor Swift"/>
    <s v="06HL4z0CvFAxyc27GXpf02"/>
    <n v="0.624"/>
    <n v="0.71099999999999997"/>
    <n v="-6.3470000000000004"/>
    <n v="0.159"/>
    <n v="3.6900000000000002E-2"/>
    <n v="3.1300000000000001E-6"/>
    <n v="0.19"/>
    <n v="0.34699999999999998"/>
  </r>
  <r>
    <s v="Wildest Dreams (Taylor's Version)"/>
    <s v="27exgla7YBw9DUNNcTIpjy"/>
    <n v="220433"/>
    <b v="0"/>
    <n v="9"/>
    <s v="1o59UpKw81iHR0HPiSkJR0"/>
    <x v="2"/>
    <d v="2023-10-27T00:00:00"/>
    <n v="22"/>
    <s v="album"/>
    <s v="Taylor Swift"/>
    <s v="06HL4z0CvFAxyc27GXpf02"/>
    <n v="0.58699999999999997"/>
    <n v="0.66300000000000003"/>
    <n v="-7.4390000000000001"/>
    <n v="5.9799999999999999E-2"/>
    <n v="3.4799999999999998E-2"/>
    <n v="9.9500000000000006E-5"/>
    <n v="9.7100000000000006E-2"/>
    <n v="0.53900000000000003"/>
  </r>
  <r>
    <s v="How You Get The Girl (Taylor's Version)"/>
    <s v="733OhaXQIHY7BKtY3vnSkn"/>
    <n v="247533"/>
    <b v="0"/>
    <n v="10"/>
    <s v="1o59UpKw81iHR0HPiSkJR0"/>
    <x v="2"/>
    <d v="2023-10-27T00:00:00"/>
    <n v="22"/>
    <s v="album"/>
    <s v="Taylor Swift"/>
    <s v="06HL4z0CvFAxyc27GXpf02"/>
    <n v="0.76100000000000001"/>
    <n v="0.67"/>
    <n v="-5.9560000000000004"/>
    <n v="5.3699999999999998E-2"/>
    <n v="1.98E-3"/>
    <n v="1.08E-5"/>
    <n v="8.7300000000000003E-2"/>
    <n v="0.51900000000000002"/>
  </r>
  <r>
    <s v="This Love (Taylor’s Version)"/>
    <s v="4WBEj8TeGtRPNJdOmT3WJW"/>
    <n v="250100"/>
    <b v="0"/>
    <n v="11"/>
    <s v="1o59UpKw81iHR0HPiSkJR0"/>
    <x v="2"/>
    <d v="2023-10-27T00:00:00"/>
    <n v="22"/>
    <s v="album"/>
    <s v="Taylor Swift"/>
    <s v="06HL4z0CvFAxyc27GXpf02"/>
    <n v="0.47"/>
    <n v="0.49399999999999999"/>
    <n v="-8.6720000000000006"/>
    <n v="3.49E-2"/>
    <n v="0.30199999999999999"/>
    <n v="0"/>
    <n v="6.7199999999999996E-2"/>
    <n v="5.2400000000000002E-2"/>
  </r>
  <r>
    <s v="I Know Places (Taylor's Version)"/>
    <s v="1ULabO0PEsdJekqVH6G10G"/>
    <n v="195700"/>
    <b v="0"/>
    <n v="12"/>
    <s v="1o59UpKw81iHR0HPiSkJR0"/>
    <x v="2"/>
    <d v="2023-10-27T00:00:00"/>
    <n v="22"/>
    <s v="album"/>
    <s v="Taylor Swift"/>
    <s v="06HL4z0CvFAxyc27GXpf02"/>
    <n v="0.57199999999999995"/>
    <n v="0.80700000000000005"/>
    <n v="-5.3479999999999999"/>
    <n v="5.74E-2"/>
    <n v="8.4599999999999995E-2"/>
    <n v="0"/>
    <n v="7.0999999999999994E-2"/>
    <n v="0.626"/>
  </r>
  <r>
    <s v="Clean (Taylor's Version)"/>
    <s v="0lKUBmEyQfzsQHozyeXzES"/>
    <n v="271000"/>
    <b v="0"/>
    <n v="13"/>
    <s v="1o59UpKw81iHR0HPiSkJR0"/>
    <x v="2"/>
    <d v="2023-10-27T00:00:00"/>
    <n v="22"/>
    <s v="album"/>
    <s v="Taylor Swift"/>
    <s v="06HL4z0CvFAxyc27GXpf02"/>
    <n v="0.78200000000000003"/>
    <n v="0.379"/>
    <n v="-8.9640000000000004"/>
    <n v="3.0300000000000001E-2"/>
    <n v="0.29699999999999999"/>
    <n v="2.9799999999999999E-5"/>
    <n v="0.10299999999999999"/>
    <n v="0.26700000000000002"/>
  </r>
  <r>
    <s v="Wonderland (Taylor's Version)"/>
    <s v="6HRsJu8vcnzYDN4t0570FY"/>
    <n v="245566"/>
    <b v="0"/>
    <n v="14"/>
    <s v="1o59UpKw81iHR0HPiSkJR0"/>
    <x v="2"/>
    <d v="2023-10-27T00:00:00"/>
    <n v="22"/>
    <s v="album"/>
    <s v="Taylor Swift"/>
    <s v="06HL4z0CvFAxyc27GXpf02"/>
    <n v="0.38700000000000001"/>
    <n v="0.70299999999999996"/>
    <n v="-5.9560000000000004"/>
    <n v="5.45E-2"/>
    <n v="1.0500000000000001E-2"/>
    <n v="1.1E-5"/>
    <n v="0.128"/>
    <n v="0.32"/>
  </r>
  <r>
    <s v="You Are In Love (Taylor's Version)"/>
    <s v="0TyGh27YQ5LknmiDhCzJiT"/>
    <n v="267389"/>
    <b v="0"/>
    <n v="15"/>
    <s v="1o59UpKw81iHR0HPiSkJR0"/>
    <x v="2"/>
    <d v="2023-10-27T00:00:00"/>
    <n v="22"/>
    <s v="album"/>
    <s v="Taylor Swift"/>
    <s v="06HL4z0CvFAxyc27GXpf02"/>
    <n v="0.55400000000000005"/>
    <n v="0.50900000000000001"/>
    <n v="-9.4030000000000005"/>
    <n v="4.5499999999999999E-2"/>
    <n v="0.57199999999999995"/>
    <n v="2.08E-6"/>
    <n v="0.113"/>
    <n v="0.40100000000000002"/>
  </r>
  <r>
    <s v="New Romantics (Taylor's Version)"/>
    <s v="5M787RexsAiVYjQusM98CV"/>
    <n v="230177"/>
    <b v="0"/>
    <n v="16"/>
    <s v="1o59UpKw81iHR0HPiSkJR0"/>
    <x v="2"/>
    <d v="2023-10-27T00:00:00"/>
    <n v="22"/>
    <s v="album"/>
    <s v="Taylor Swift"/>
    <s v="06HL4z0CvFAxyc27GXpf02"/>
    <n v="0.65300000000000002"/>
    <n v="0.84799999999999998"/>
    <n v="-5.9359999999999999"/>
    <n v="5.8299999999999998E-2"/>
    <n v="5.1599999999999997E-3"/>
    <n v="4.2400000000000001E-6"/>
    <n v="7.9799999999999996E-2"/>
    <n v="0.72399999999999998"/>
  </r>
  <r>
    <s v="&quot;Slut!&quot; (Taylor's Version) (From The Vault)"/>
    <s v="0CD7DzeCsuPJygddqlUVYa"/>
    <n v="180381"/>
    <b v="0"/>
    <n v="17"/>
    <s v="1o59UpKw81iHR0HPiSkJR0"/>
    <x v="2"/>
    <d v="2023-10-27T00:00:00"/>
    <n v="22"/>
    <s v="album"/>
    <s v="Taylor Swift"/>
    <s v="06HL4z0CvFAxyc27GXpf02"/>
    <n v="0.621"/>
    <n v="0.41499999999999998"/>
    <n v="-13.186999999999999"/>
    <n v="5.4300000000000001E-2"/>
    <n v="0.33"/>
    <n v="1.12E-4"/>
    <n v="6.3399999999999998E-2"/>
    <n v="0.313"/>
  </r>
  <r>
    <s v="Say Don't Go (Taylor's Version) (From The Vault)"/>
    <s v="3CCRVu4F91Qp2mnGjmWBrf"/>
    <n v="279833"/>
    <b v="0"/>
    <n v="18"/>
    <s v="1o59UpKw81iHR0HPiSkJR0"/>
    <x v="2"/>
    <d v="2023-10-27T00:00:00"/>
    <n v="22"/>
    <s v="album"/>
    <s v="Taylor Swift"/>
    <s v="06HL4z0CvFAxyc27GXpf02"/>
    <n v="0.63200000000000001"/>
    <n v="0.53900000000000003"/>
    <n v="-8.375"/>
    <n v="3.4200000000000001E-2"/>
    <n v="6.8400000000000002E-2"/>
    <n v="5.8200000000000002E-6"/>
    <n v="0.13200000000000001"/>
    <n v="0.186"/>
  </r>
  <r>
    <s v="Now That We Don't Talk (Taylor's Version) (From The Vault)"/>
    <s v="5QUIK7ZtziW8kGWo8RqopF"/>
    <n v="146436"/>
    <b v="0"/>
    <n v="19"/>
    <s v="1o59UpKw81iHR0HPiSkJR0"/>
    <x v="2"/>
    <d v="2023-10-27T00:00:00"/>
    <n v="22"/>
    <s v="album"/>
    <s v="Taylor Swift"/>
    <s v="06HL4z0CvFAxyc27GXpf02"/>
    <n v="0.8"/>
    <n v="0.50900000000000001"/>
    <n v="-9.3859999999999992"/>
    <n v="3.4000000000000002E-2"/>
    <n v="0.16"/>
    <n v="3.0499999999999999E-5"/>
    <n v="8.3400000000000002E-2"/>
    <n v="7.6799999999999993E-2"/>
  </r>
  <r>
    <s v="Suburban Legends (Taylor's Version) (From The Vault)"/>
    <s v="6M9ppdfFjR1AbpUl3Y8DcV"/>
    <n v="171818"/>
    <b v="0"/>
    <n v="20"/>
    <s v="1o59UpKw81iHR0HPiSkJR0"/>
    <x v="2"/>
    <d v="2023-10-27T00:00:00"/>
    <n v="22"/>
    <s v="album"/>
    <s v="Taylor Swift"/>
    <s v="06HL4z0CvFAxyc27GXpf02"/>
    <n v="0.69499999999999995"/>
    <n v="0.60699999999999998"/>
    <n v="-8.84"/>
    <n v="3.5700000000000003E-2"/>
    <n v="0.21199999999999999"/>
    <n v="0"/>
    <n v="0.10199999999999999"/>
    <n v="0.39400000000000002"/>
  </r>
  <r>
    <s v="Is It Over Now? (Taylor's Version) (From The Vault)"/>
    <s v="6IG3sQ8s9nfk6TUlVzRhbN"/>
    <n v="229477"/>
    <b v="0"/>
    <n v="21"/>
    <s v="1o59UpKw81iHR0HPiSkJR0"/>
    <x v="2"/>
    <d v="2023-10-27T00:00:00"/>
    <n v="22"/>
    <s v="album"/>
    <s v="Taylor Swift"/>
    <s v="06HL4z0CvFAxyc27GXpf02"/>
    <n v="0.59899999999999998"/>
    <n v="0.65100000000000002"/>
    <n v="-7.343"/>
    <n v="3.5000000000000003E-2"/>
    <n v="4.8599999999999997E-2"/>
    <n v="0"/>
    <n v="0.126"/>
    <n v="0.153"/>
  </r>
  <r>
    <s v="Bad Blood (feat. Kendrick Lamar) (Taylor's Version)"/>
    <s v="6qAcApH8obo8eqatCKUHd9"/>
    <n v="199773"/>
    <b v="0"/>
    <n v="22"/>
    <s v="1o59UpKw81iHR0HPiSkJR0"/>
    <x v="2"/>
    <d v="2023-10-27T00:00:00"/>
    <n v="22"/>
    <s v="album"/>
    <s v="Taylor Swift"/>
    <s v="06HL4z0CvFAxyc27GXpf02"/>
    <n v="0.60399999999999998"/>
    <n v="0.64400000000000002"/>
    <n v="-6.931"/>
    <n v="8.8900000000000007E-2"/>
    <n v="1.43E-2"/>
    <n v="0"/>
    <n v="0.23699999999999999"/>
    <n v="0.19700000000000001"/>
  </r>
  <r>
    <s v="Welcome To New York (Taylor's Version)"/>
    <s v="1hR8BSuEqPCCZfv93zzzz9"/>
    <n v="212600"/>
    <b v="0"/>
    <n v="1"/>
    <s v="64LU4c1nfjz1t4VnGhagcg"/>
    <x v="3"/>
    <d v="2023-10-26T00:00:00"/>
    <n v="21"/>
    <s v="album"/>
    <s v="Taylor Swift"/>
    <s v="06HL4z0CvFAxyc27GXpf02"/>
    <n v="0.76"/>
    <n v="0.60199999999999998"/>
    <n v="-4.8710000000000004"/>
    <n v="3.1600000000000003E-2"/>
    <n v="6.6100000000000004E-3"/>
    <n v="1.3300000000000001E-4"/>
    <n v="0.32500000000000001"/>
    <n v="0.68500000000000005"/>
  </r>
  <r>
    <s v="Blank Space (Taylor's Version)"/>
    <s v="45wMBGri1PORPjM9PwFfrS"/>
    <n v="231833"/>
    <b v="0"/>
    <n v="2"/>
    <s v="64LU4c1nfjz1t4VnGhagcg"/>
    <x v="3"/>
    <d v="2023-10-26T00:00:00"/>
    <n v="21"/>
    <s v="album"/>
    <s v="Taylor Swift"/>
    <s v="06HL4z0CvFAxyc27GXpf02"/>
    <n v="0.73199999999999998"/>
    <n v="0.71899999999999997"/>
    <n v="-5.4690000000000003"/>
    <n v="6.4500000000000002E-2"/>
    <n v="9.01E-2"/>
    <n v="0"/>
    <n v="0.33100000000000002"/>
    <n v="0.71"/>
  </r>
  <r>
    <s v="Style (Taylor's Version)"/>
    <s v="1hjRhYpWyqDpPahmSlUTlc"/>
    <n v="231000"/>
    <b v="0"/>
    <n v="3"/>
    <s v="64LU4c1nfjz1t4VnGhagcg"/>
    <x v="3"/>
    <d v="2023-10-26T00:00:00"/>
    <n v="21"/>
    <s v="album"/>
    <s v="Taylor Swift"/>
    <s v="06HL4z0CvFAxyc27GXpf02"/>
    <n v="0.51400000000000001"/>
    <n v="0.82099999999999995"/>
    <n v="-4.8029999999999999"/>
    <n v="4.4400000000000002E-2"/>
    <n v="4.5600000000000003E-4"/>
    <n v="2.3199999999999998E-2"/>
    <n v="9.4600000000000004E-2"/>
    <n v="0.29799999999999999"/>
  </r>
  <r>
    <s v="Out Of The Woods (Taylor's Version)"/>
    <s v="045ZeOHPIzhxxsm8bq5kyE"/>
    <n v="235800"/>
    <b v="0"/>
    <n v="4"/>
    <s v="64LU4c1nfjz1t4VnGhagcg"/>
    <x v="3"/>
    <d v="2023-10-26T00:00:00"/>
    <n v="21"/>
    <s v="album"/>
    <s v="Taylor Swift"/>
    <s v="06HL4z0CvFAxyc27GXpf02"/>
    <n v="0.54400000000000004"/>
    <n v="0.88400000000000001"/>
    <n v="-5.9729999999999999"/>
    <n v="3.8300000000000001E-2"/>
    <n v="4.66E-4"/>
    <n v="1.34E-4"/>
    <n v="0.38100000000000001"/>
    <n v="0.184"/>
  </r>
  <r>
    <s v="All You Had To Do Was Stay (Taylor's Version)"/>
    <s v="6GXgd1BPD9bUpqw5AntGV5"/>
    <n v="193289"/>
    <b v="0"/>
    <n v="5"/>
    <s v="64LU4c1nfjz1t4VnGhagcg"/>
    <x v="3"/>
    <d v="2023-10-26T00:00:00"/>
    <n v="21"/>
    <s v="album"/>
    <s v="Taylor Swift"/>
    <s v="06HL4z0CvFAxyc27GXpf02"/>
    <n v="0.58899999999999997"/>
    <n v="0.71299999999999997"/>
    <n v="-5.6139999999999999"/>
    <n v="3.0800000000000001E-2"/>
    <n v="7.7800000000000005E-4"/>
    <n v="0"/>
    <n v="0.188"/>
    <n v="0.54"/>
  </r>
  <r>
    <s v="Shake It Off (Taylor's Version)"/>
    <s v="3pv7Q5v2dpdefwdWIvE7yH"/>
    <n v="219209"/>
    <b v="0"/>
    <n v="6"/>
    <s v="64LU4c1nfjz1t4VnGhagcg"/>
    <x v="3"/>
    <d v="2023-10-26T00:00:00"/>
    <n v="21"/>
    <s v="album"/>
    <s v="Taylor Swift"/>
    <s v="06HL4z0CvFAxyc27GXpf02"/>
    <n v="0.63200000000000001"/>
    <n v="0.80500000000000005"/>
    <n v="-5.7069999999999999"/>
    <n v="6.9000000000000006E-2"/>
    <n v="1.12E-2"/>
    <n v="2.51E-5"/>
    <n v="0.156"/>
    <n v="0.90300000000000002"/>
  </r>
  <r>
    <s v="I Wish You Would (Taylor's Version)"/>
    <s v="43y1WpBdnEy5TR9aZoSQL9"/>
    <n v="207650"/>
    <b v="0"/>
    <n v="7"/>
    <s v="64LU4c1nfjz1t4VnGhagcg"/>
    <x v="3"/>
    <d v="2023-10-26T00:00:00"/>
    <n v="21"/>
    <s v="album"/>
    <s v="Taylor Swift"/>
    <s v="06HL4z0CvFAxyc27GXpf02"/>
    <n v="0.67100000000000004"/>
    <n v="0.85299999999999998"/>
    <n v="-6.5679999999999996"/>
    <n v="4.1700000000000001E-2"/>
    <n v="3.8800000000000002E-3"/>
    <n v="9.4800000000000007E-6"/>
    <n v="8.1199999999999994E-2"/>
    <n v="0.52300000000000002"/>
  </r>
  <r>
    <s v="Bad Blood (Taylor's Version)"/>
    <s v="64FzgoLZ3oXu2SriZblHic"/>
    <n v="211103"/>
    <b v="0"/>
    <n v="8"/>
    <s v="64LU4c1nfjz1t4VnGhagcg"/>
    <x v="3"/>
    <d v="2023-10-26T00:00:00"/>
    <n v="21"/>
    <s v="album"/>
    <s v="Taylor Swift"/>
    <s v="06HL4z0CvFAxyc27GXpf02"/>
    <n v="0.624"/>
    <n v="0.71099999999999997"/>
    <n v="-6.3470000000000004"/>
    <n v="0.159"/>
    <n v="3.6900000000000002E-2"/>
    <n v="3.1300000000000001E-6"/>
    <n v="0.19"/>
    <n v="0.34699999999999998"/>
  </r>
  <r>
    <s v="Wildest Dreams (Taylor's Version)"/>
    <s v="1K39ty6o1sHwwlZwO6a7wK"/>
    <n v="220433"/>
    <b v="0"/>
    <n v="9"/>
    <s v="64LU4c1nfjz1t4VnGhagcg"/>
    <x v="3"/>
    <d v="2023-10-26T00:00:00"/>
    <n v="21"/>
    <s v="album"/>
    <s v="Taylor Swift"/>
    <s v="06HL4z0CvFAxyc27GXpf02"/>
    <n v="0.58699999999999997"/>
    <n v="0.66300000000000003"/>
    <n v="-7.4390000000000001"/>
    <n v="5.9799999999999999E-2"/>
    <n v="3.4799999999999998E-2"/>
    <n v="9.9500000000000006E-5"/>
    <n v="9.7100000000000006E-2"/>
    <n v="0.53900000000000003"/>
  </r>
  <r>
    <s v="How You Get The Girl (Taylor's Version)"/>
    <s v="75W3SngKzTuoQ94uLf3y82"/>
    <n v="247533"/>
    <b v="0"/>
    <n v="10"/>
    <s v="64LU4c1nfjz1t4VnGhagcg"/>
    <x v="3"/>
    <d v="2023-10-26T00:00:00"/>
    <n v="21"/>
    <s v="album"/>
    <s v="Taylor Swift"/>
    <s v="06HL4z0CvFAxyc27GXpf02"/>
    <n v="0.76100000000000001"/>
    <n v="0.67"/>
    <n v="-5.9560000000000004"/>
    <n v="5.3699999999999998E-2"/>
    <n v="1.98E-3"/>
    <n v="1.08E-5"/>
    <n v="8.7300000000000003E-2"/>
    <n v="0.51900000000000002"/>
  </r>
  <r>
    <s v="This Love (Taylor’s Version)"/>
    <s v="5QVVjX0ZItqlVpEuVCM9Yg"/>
    <n v="250100"/>
    <b v="0"/>
    <n v="11"/>
    <s v="64LU4c1nfjz1t4VnGhagcg"/>
    <x v="3"/>
    <d v="2023-10-26T00:00:00"/>
    <n v="21"/>
    <s v="album"/>
    <s v="Taylor Swift"/>
    <s v="06HL4z0CvFAxyc27GXpf02"/>
    <n v="0.47"/>
    <n v="0.49399999999999999"/>
    <n v="-8.6720000000000006"/>
    <n v="3.49E-2"/>
    <n v="0.30199999999999999"/>
    <n v="0"/>
    <n v="6.7199999999999996E-2"/>
    <n v="5.2400000000000002E-2"/>
  </r>
  <r>
    <s v="I Know Places (Taylor's Version)"/>
    <s v="2f0GI2ZLUtbGqFx8t2Gk6A"/>
    <n v="195700"/>
    <b v="0"/>
    <n v="12"/>
    <s v="64LU4c1nfjz1t4VnGhagcg"/>
    <x v="3"/>
    <d v="2023-10-26T00:00:00"/>
    <n v="21"/>
    <s v="album"/>
    <s v="Taylor Swift"/>
    <s v="06HL4z0CvFAxyc27GXpf02"/>
    <n v="0.57199999999999995"/>
    <n v="0.80700000000000005"/>
    <n v="-5.3479999999999999"/>
    <n v="5.74E-2"/>
    <n v="8.4599999999999995E-2"/>
    <n v="0"/>
    <n v="7.0999999999999994E-2"/>
    <n v="0.626"/>
  </r>
  <r>
    <s v="Clean (Taylor's Version)"/>
    <s v="2ByBBvpR9b7IynvRmnG7kG"/>
    <n v="271000"/>
    <b v="0"/>
    <n v="13"/>
    <s v="64LU4c1nfjz1t4VnGhagcg"/>
    <x v="3"/>
    <d v="2023-10-26T00:00:00"/>
    <n v="21"/>
    <s v="album"/>
    <s v="Taylor Swift"/>
    <s v="06HL4z0CvFAxyc27GXpf02"/>
    <n v="0.78200000000000003"/>
    <n v="0.379"/>
    <n v="-8.9640000000000004"/>
    <n v="3.0300000000000001E-2"/>
    <n v="0.29699999999999999"/>
    <n v="2.9799999999999999E-5"/>
    <n v="0.10299999999999999"/>
    <n v="0.26700000000000002"/>
  </r>
  <r>
    <s v="Wonderland (Taylor's Version)"/>
    <s v="2ve0kuaWUCt4Zx8x4bf1MR"/>
    <n v="245566"/>
    <b v="0"/>
    <n v="14"/>
    <s v="64LU4c1nfjz1t4VnGhagcg"/>
    <x v="3"/>
    <d v="2023-10-26T00:00:00"/>
    <n v="21"/>
    <s v="album"/>
    <s v="Taylor Swift"/>
    <s v="06HL4z0CvFAxyc27GXpf02"/>
    <n v="0.38700000000000001"/>
    <n v="0.70299999999999996"/>
    <n v="-5.9560000000000004"/>
    <n v="5.45E-2"/>
    <n v="1.0500000000000001E-2"/>
    <n v="1.1E-5"/>
    <n v="0.128"/>
    <n v="0.32"/>
  </r>
  <r>
    <s v="You Are In Love (Taylor's Version)"/>
    <s v="4UwqOWDpdeIDVQDuKT6iza"/>
    <n v="267389"/>
    <b v="0"/>
    <n v="15"/>
    <s v="64LU4c1nfjz1t4VnGhagcg"/>
    <x v="3"/>
    <d v="2023-10-26T00:00:00"/>
    <n v="21"/>
    <s v="album"/>
    <s v="Taylor Swift"/>
    <s v="06HL4z0CvFAxyc27GXpf02"/>
    <n v="0.55400000000000005"/>
    <n v="0.50900000000000001"/>
    <n v="-9.4030000000000005"/>
    <n v="4.5499999999999999E-2"/>
    <n v="0.57199999999999995"/>
    <n v="2.08E-6"/>
    <n v="0.113"/>
    <n v="0.40100000000000002"/>
  </r>
  <r>
    <s v="New Romantics (Taylor's Version)"/>
    <s v="2vPMoMDXxu9uX1igWZmXSG"/>
    <n v="230177"/>
    <b v="0"/>
    <n v="16"/>
    <s v="64LU4c1nfjz1t4VnGhagcg"/>
    <x v="3"/>
    <d v="2023-10-26T00:00:00"/>
    <n v="21"/>
    <s v="album"/>
    <s v="Taylor Swift"/>
    <s v="06HL4z0CvFAxyc27GXpf02"/>
    <n v="0.65300000000000002"/>
    <n v="0.84799999999999998"/>
    <n v="-5.9359999999999999"/>
    <n v="5.8299999999999998E-2"/>
    <n v="5.1599999999999997E-3"/>
    <n v="4.2400000000000001E-6"/>
    <n v="7.9799999999999996E-2"/>
    <n v="0.72399999999999998"/>
  </r>
  <r>
    <s v="&quot;Slut!&quot; (Taylor's Version) (From The Vault)"/>
    <s v="71BqAINEnezjQfxE4VuJfq"/>
    <n v="180381"/>
    <b v="0"/>
    <n v="17"/>
    <s v="64LU4c1nfjz1t4VnGhagcg"/>
    <x v="3"/>
    <d v="2023-10-26T00:00:00"/>
    <n v="21"/>
    <s v="album"/>
    <s v="Taylor Swift"/>
    <s v="06HL4z0CvFAxyc27GXpf02"/>
    <n v="0.621"/>
    <n v="0.41499999999999998"/>
    <n v="-13.186999999999999"/>
    <n v="5.4300000000000001E-2"/>
    <n v="0.33"/>
    <n v="1.12E-4"/>
    <n v="6.3399999999999998E-2"/>
    <n v="0.313"/>
  </r>
  <r>
    <s v="Say Don't Go (Taylor's Version) (From The Vault)"/>
    <s v="4NioO5R9sHEZh4cGzMHyNt"/>
    <n v="279833"/>
    <b v="0"/>
    <n v="18"/>
    <s v="64LU4c1nfjz1t4VnGhagcg"/>
    <x v="3"/>
    <d v="2023-10-26T00:00:00"/>
    <n v="21"/>
    <s v="album"/>
    <s v="Taylor Swift"/>
    <s v="06HL4z0CvFAxyc27GXpf02"/>
    <n v="0.63200000000000001"/>
    <n v="0.53900000000000003"/>
    <n v="-8.375"/>
    <n v="3.4200000000000001E-2"/>
    <n v="6.8400000000000002E-2"/>
    <n v="5.8200000000000002E-6"/>
    <n v="0.13200000000000001"/>
    <n v="0.186"/>
  </r>
  <r>
    <s v="Now That We Don't Talk (Taylor's Version) (From The Vault)"/>
    <s v="5KD6AEm19QnMbfWpfoOHMl"/>
    <n v="146436"/>
    <b v="0"/>
    <n v="19"/>
    <s v="64LU4c1nfjz1t4VnGhagcg"/>
    <x v="3"/>
    <d v="2023-10-26T00:00:00"/>
    <n v="21"/>
    <s v="album"/>
    <s v="Taylor Swift"/>
    <s v="06HL4z0CvFAxyc27GXpf02"/>
    <n v="0.8"/>
    <n v="0.50900000000000001"/>
    <n v="-9.3859999999999992"/>
    <n v="3.4000000000000002E-2"/>
    <n v="0.16"/>
    <n v="3.0499999999999999E-5"/>
    <n v="8.3400000000000002E-2"/>
    <n v="7.6799999999999993E-2"/>
  </r>
  <r>
    <s v="Suburban Legends (Taylor's Version) (From The Vault)"/>
    <s v="6T0sEnqjmHISIKwFETeeiP"/>
    <n v="171818"/>
    <b v="0"/>
    <n v="20"/>
    <s v="64LU4c1nfjz1t4VnGhagcg"/>
    <x v="3"/>
    <d v="2023-10-26T00:00:00"/>
    <n v="21"/>
    <s v="album"/>
    <s v="Taylor Swift"/>
    <s v="06HL4z0CvFAxyc27GXpf02"/>
    <n v="0.69499999999999995"/>
    <n v="0.60699999999999998"/>
    <n v="-8.84"/>
    <n v="3.5700000000000003E-2"/>
    <n v="0.21199999999999999"/>
    <n v="0"/>
    <n v="0.10199999999999999"/>
    <n v="0.39400000000000002"/>
  </r>
  <r>
    <s v="Is It Over Now? (Taylor's Version) (From The Vault)"/>
    <s v="1Iq8oo9XkmmvCQiGOfORiz"/>
    <n v="229477"/>
    <b v="0"/>
    <n v="21"/>
    <s v="64LU4c1nfjz1t4VnGhagcg"/>
    <x v="3"/>
    <d v="2023-10-26T00:00:00"/>
    <n v="21"/>
    <s v="album"/>
    <s v="Taylor Swift"/>
    <s v="06HL4z0CvFAxyc27GXpf02"/>
    <n v="0.59899999999999998"/>
    <n v="0.65100000000000002"/>
    <n v="-7.343"/>
    <n v="3.5000000000000003E-2"/>
    <n v="4.8599999999999997E-2"/>
    <n v="0"/>
    <n v="0.126"/>
    <n v="0.153"/>
  </r>
  <r>
    <s v="Mine (Taylor's Version)"/>
    <s v="7G0gBu6nLdhFDPRLc0HdDG"/>
    <n v="231706"/>
    <b v="0"/>
    <n v="1"/>
    <s v="5AEDGbliTTfjOB8TSm1sxt"/>
    <x v="4"/>
    <d v="2023-07-07T00:00:00"/>
    <n v="22"/>
    <s v="album"/>
    <s v="Taylor Swift"/>
    <s v="06HL4z0CvFAxyc27GXpf02"/>
    <n v="0.64700000000000002"/>
    <n v="0.79300000000000004"/>
    <n v="-2.903"/>
    <n v="3.6299999999999999E-2"/>
    <n v="3.14E-3"/>
    <n v="1.9300000000000002E-6"/>
    <n v="0.17399999999999999"/>
    <n v="0.5"/>
  </r>
  <r>
    <s v="Sparks Fly (Taylor’s Version)"/>
    <s v="3MytWN8L7shNYzGl4tAKRp"/>
    <n v="261230"/>
    <b v="0"/>
    <n v="2"/>
    <s v="5AEDGbliTTfjOB8TSm1sxt"/>
    <x v="4"/>
    <d v="2023-07-07T00:00:00"/>
    <n v="22"/>
    <s v="album"/>
    <s v="Taylor Swift"/>
    <s v="06HL4z0CvFAxyc27GXpf02"/>
    <n v="0.60499999999999998"/>
    <n v="0.76900000000000002"/>
    <n v="-2.4129999999999998"/>
    <n v="3.2000000000000001E-2"/>
    <n v="2.41E-2"/>
    <n v="0"/>
    <n v="9.3600000000000003E-2"/>
    <n v="0.36599999999999999"/>
  </r>
  <r>
    <s v="Back To December (Taylor's Version)"/>
    <s v="79uDOz0zuuWS7HWxzMmTa2"/>
    <n v="294189"/>
    <b v="0"/>
    <n v="3"/>
    <s v="5AEDGbliTTfjOB8TSm1sxt"/>
    <x v="4"/>
    <d v="2023-07-07T00:00:00"/>
    <n v="22"/>
    <s v="album"/>
    <s v="Taylor Swift"/>
    <s v="06HL4z0CvFAxyc27GXpf02"/>
    <n v="0.48599999999999999"/>
    <n v="0.63500000000000001"/>
    <n v="-3.9940000000000002"/>
    <n v="2.7799999999999998E-2"/>
    <n v="7.0499999999999998E-3"/>
    <n v="0"/>
    <n v="0.11899999999999999"/>
    <n v="0.23499999999999999"/>
  </r>
  <r>
    <s v="Speak Now (Taylor's Version)"/>
    <s v="5xXqyjLicvEpch72qEryFT"/>
    <n v="242473"/>
    <b v="0"/>
    <n v="4"/>
    <s v="5AEDGbliTTfjOB8TSm1sxt"/>
    <x v="4"/>
    <d v="2023-07-07T00:00:00"/>
    <n v="22"/>
    <s v="album"/>
    <s v="Taylor Swift"/>
    <s v="06HL4z0CvFAxyc27GXpf02"/>
    <n v="0.73399999999999999"/>
    <n v="0.68600000000000005"/>
    <n v="-2.9260000000000002"/>
    <n v="3.49E-2"/>
    <n v="0.22500000000000001"/>
    <n v="0"/>
    <n v="0.13600000000000001"/>
    <n v="0.59799999999999998"/>
  </r>
  <r>
    <s v="Dear John (Taylor's Version)"/>
    <s v="1zU8j1x3yi9xalMF96pzKp"/>
    <n v="405906"/>
    <b v="0"/>
    <n v="5"/>
    <s v="5AEDGbliTTfjOB8TSm1sxt"/>
    <x v="4"/>
    <d v="2023-07-07T00:00:00"/>
    <n v="22"/>
    <s v="album"/>
    <s v="Taylor Swift"/>
    <s v="06HL4z0CvFAxyc27GXpf02"/>
    <n v="0.379"/>
    <n v="0.46800000000000003"/>
    <n v="-5.07"/>
    <n v="2.98E-2"/>
    <n v="3.27E-2"/>
    <n v="0"/>
    <n v="0.158"/>
    <n v="0.115"/>
  </r>
  <r>
    <s v="Mean (Taylor's Version)"/>
    <s v="30Y4CV7A6YqtQtTTo7Ue4j"/>
    <n v="238693"/>
    <b v="0"/>
    <n v="6"/>
    <s v="5AEDGbliTTfjOB8TSm1sxt"/>
    <x v="4"/>
    <d v="2023-07-07T00:00:00"/>
    <n v="22"/>
    <s v="album"/>
    <s v="Taylor Swift"/>
    <s v="06HL4z0CvFAxyc27GXpf02"/>
    <n v="0.52600000000000002"/>
    <n v="0.7"/>
    <n v="-3.95"/>
    <n v="3.9199999999999999E-2"/>
    <n v="0.32100000000000001"/>
    <n v="0"/>
    <n v="0.21299999999999999"/>
    <n v="0.59599999999999997"/>
  </r>
  <r>
    <s v="The Story Of Us (Taylor's Version)"/>
    <s v="6dTA6y0C2ReQklntzZl8l3"/>
    <n v="267653"/>
    <b v="0"/>
    <n v="7"/>
    <s v="5AEDGbliTTfjOB8TSm1sxt"/>
    <x v="4"/>
    <d v="2023-07-07T00:00:00"/>
    <n v="22"/>
    <s v="album"/>
    <s v="Taylor Swift"/>
    <s v="06HL4z0CvFAxyc27GXpf02"/>
    <n v="0.51600000000000001"/>
    <n v="0.78400000000000003"/>
    <n v="-2.6360000000000001"/>
    <n v="5.6300000000000003E-2"/>
    <n v="1.3600000000000001E-3"/>
    <n v="0"/>
    <n v="4.99E-2"/>
    <n v="0.55200000000000005"/>
  </r>
  <r>
    <s v="Never Grow Up (Taylor's Version)"/>
    <s v="2EFZ9emtKWEglWUQGEQ3P9"/>
    <n v="292920"/>
    <b v="0"/>
    <n v="8"/>
    <s v="5AEDGbliTTfjOB8TSm1sxt"/>
    <x v="4"/>
    <d v="2023-07-07T00:00:00"/>
    <n v="22"/>
    <s v="album"/>
    <s v="Taylor Swift"/>
    <s v="06HL4z0CvFAxyc27GXpf02"/>
    <n v="0.68400000000000005"/>
    <n v="0.33900000000000002"/>
    <n v="-7.2590000000000003"/>
    <n v="2.9000000000000001E-2"/>
    <n v="0.86699999999999999"/>
    <n v="0"/>
    <n v="0.19400000000000001"/>
    <n v="0.57199999999999995"/>
  </r>
  <r>
    <s v="Enchanted (Taylor's Version)"/>
    <s v="3sW3oSbzsfecv9XoUdGs7h"/>
    <n v="353253"/>
    <b v="0"/>
    <n v="9"/>
    <s v="5AEDGbliTTfjOB8TSm1sxt"/>
    <x v="4"/>
    <d v="2023-07-07T00:00:00"/>
    <n v="22"/>
    <s v="album"/>
    <s v="Taylor Swift"/>
    <s v="06HL4z0CvFAxyc27GXpf02"/>
    <n v="0.52"/>
    <n v="0.55300000000000005"/>
    <n v="-3.5459999999999998"/>
    <n v="2.69E-2"/>
    <n v="1.6E-2"/>
    <n v="0"/>
    <n v="0.16500000000000001"/>
    <n v="0.22700000000000001"/>
  </r>
  <r>
    <s v="Better Than Revenge (Taylor's Version)"/>
    <s v="0NwGC0v03ysCYINtg6ns58"/>
    <n v="220306"/>
    <b v="0"/>
    <n v="10"/>
    <s v="5AEDGbliTTfjOB8TSm1sxt"/>
    <x v="4"/>
    <d v="2023-07-07T00:00:00"/>
    <n v="22"/>
    <s v="album"/>
    <s v="Taylor Swift"/>
    <s v="06HL4z0CvFAxyc27GXpf02"/>
    <n v="0.505"/>
    <n v="0.89300000000000002"/>
    <n v="-3.0129999999999999"/>
    <n v="7.7100000000000002E-2"/>
    <n v="7.9500000000000003E-4"/>
    <n v="0"/>
    <n v="0.17799999999999999"/>
    <n v="0.65900000000000003"/>
  </r>
  <r>
    <s v="Innocent (Taylor's Version)"/>
    <s v="12nBPF4Rh4XLFJV0YLN7uj"/>
    <n v="301221"/>
    <b v="0"/>
    <n v="11"/>
    <s v="5AEDGbliTTfjOB8TSm1sxt"/>
    <x v="4"/>
    <d v="2023-07-07T00:00:00"/>
    <n v="22"/>
    <s v="album"/>
    <s v="Taylor Swift"/>
    <s v="06HL4z0CvFAxyc27GXpf02"/>
    <n v="0.52400000000000002"/>
    <n v="0.61099999999999999"/>
    <n v="-5.298"/>
    <n v="2.9700000000000001E-2"/>
    <n v="9.7199999999999995E-2"/>
    <n v="0"/>
    <n v="0.127"/>
    <n v="0.126"/>
  </r>
  <r>
    <s v="Haunted (Taylor's Version)"/>
    <s v="4tMzIAFTFdqGBQLdfbPces"/>
    <n v="245413"/>
    <b v="0"/>
    <n v="12"/>
    <s v="5AEDGbliTTfjOB8TSm1sxt"/>
    <x v="4"/>
    <d v="2023-07-07T00:00:00"/>
    <n v="22"/>
    <s v="album"/>
    <s v="Taylor Swift"/>
    <s v="06HL4z0CvFAxyc27GXpf02"/>
    <n v="0.44"/>
    <n v="0.91600000000000004"/>
    <n v="-1.927"/>
    <n v="6.2899999999999998E-2"/>
    <n v="5.5199999999999997E-3"/>
    <n v="0"/>
    <n v="0.252"/>
    <n v="0.371"/>
  </r>
  <r>
    <s v="Last Kiss (Taylor's Version)"/>
    <s v="59KOoHFcw5XfICnO57holu"/>
    <n v="369120"/>
    <b v="0"/>
    <n v="13"/>
    <s v="5AEDGbliTTfjOB8TSm1sxt"/>
    <x v="4"/>
    <d v="2023-07-07T00:00:00"/>
    <n v="22"/>
    <s v="album"/>
    <s v="Taylor Swift"/>
    <s v="06HL4z0CvFAxyc27GXpf02"/>
    <n v="0.55700000000000005"/>
    <n v="0.36199999999999999"/>
    <n v="-8.641"/>
    <n v="2.63E-2"/>
    <n v="0.443"/>
    <n v="3.5700000000000001E-6"/>
    <n v="0.1"/>
    <n v="0.187"/>
  </r>
  <r>
    <s v="Long Live (Taylor's Version)"/>
    <s v="4hqJ4bSlYJOXb6Z4SRmzxs"/>
    <n v="317960"/>
    <b v="0"/>
    <n v="14"/>
    <s v="5AEDGbliTTfjOB8TSm1sxt"/>
    <x v="4"/>
    <d v="2023-07-07T00:00:00"/>
    <n v="22"/>
    <s v="album"/>
    <s v="Taylor Swift"/>
    <s v="06HL4z0CvFAxyc27GXpf02"/>
    <n v="0.38"/>
    <n v="0.628"/>
    <n v="-4.0540000000000003"/>
    <n v="3.7999999999999999E-2"/>
    <n v="1.6199999999999999E-2"/>
    <n v="0"/>
    <n v="0.22700000000000001"/>
    <n v="9.8400000000000001E-2"/>
  </r>
  <r>
    <s v="Ours (Taylor’s Version)"/>
    <s v="3yNJkriPzWjkkDAWHIAVUq"/>
    <n v="235803"/>
    <b v="0"/>
    <n v="15"/>
    <s v="5AEDGbliTTfjOB8TSm1sxt"/>
    <x v="4"/>
    <d v="2023-07-07T00:00:00"/>
    <n v="22"/>
    <s v="album"/>
    <s v="Taylor Swift"/>
    <s v="06HL4z0CvFAxyc27GXpf02"/>
    <n v="0.53900000000000003"/>
    <n v="0.47499999999999998"/>
    <n v="-8.4109999999999996"/>
    <n v="2.87E-2"/>
    <n v="0.42"/>
    <n v="0"/>
    <n v="0.109"/>
    <n v="0.29299999999999998"/>
  </r>
  <r>
    <s v="Superman (Taylor’s Version)"/>
    <s v="4evLyY5Ue1Wesc61t2KXAU"/>
    <n v="274945"/>
    <b v="0"/>
    <n v="16"/>
    <s v="5AEDGbliTTfjOB8TSm1sxt"/>
    <x v="4"/>
    <d v="2023-07-07T00:00:00"/>
    <n v="22"/>
    <s v="album"/>
    <s v="Taylor Swift"/>
    <s v="06HL4z0CvFAxyc27GXpf02"/>
    <n v="0.53700000000000003"/>
    <n v="0.73299999999999998"/>
    <n v="-3.5059999999999998"/>
    <n v="3.0200000000000001E-2"/>
    <n v="2.0699999999999998E-3"/>
    <n v="0"/>
    <n v="0.11"/>
    <n v="0.34699999999999998"/>
  </r>
  <r>
    <s v="Electric Touch (feat. Fall Out Boy) (Taylor’s Version) (From The Vault)"/>
    <s v="4e3ZNTAV6PCrdYMUrUlMpQ"/>
    <n v="266466"/>
    <b v="0"/>
    <n v="17"/>
    <s v="5AEDGbliTTfjOB8TSm1sxt"/>
    <x v="4"/>
    <d v="2023-07-07T00:00:00"/>
    <n v="22"/>
    <s v="album"/>
    <s v="Taylor Swift"/>
    <s v="06HL4z0CvFAxyc27GXpf02"/>
    <n v="0.54700000000000004"/>
    <n v="0.85399999999999998"/>
    <n v="-4.7530000000000001"/>
    <n v="5.2600000000000001E-2"/>
    <n v="1.7999999999999999E-2"/>
    <n v="0"/>
    <n v="0.156"/>
    <n v="0.26"/>
  </r>
  <r>
    <s v="When Emma Falls in Love (Taylor’s Version) (From The Vault)"/>
    <s v="0zo975x58DlXbZllWvfYhg"/>
    <n v="252385"/>
    <b v="0"/>
    <n v="18"/>
    <s v="5AEDGbliTTfjOB8TSm1sxt"/>
    <x v="4"/>
    <d v="2023-07-07T00:00:00"/>
    <n v="22"/>
    <s v="album"/>
    <s v="Taylor Swift"/>
    <s v="06HL4z0CvFAxyc27GXpf02"/>
    <n v="0.52400000000000002"/>
    <n v="0.75900000000000001"/>
    <n v="-4.7140000000000004"/>
    <n v="4.7100000000000003E-2"/>
    <n v="0.16800000000000001"/>
    <n v="0"/>
    <n v="0.104"/>
    <n v="0.23400000000000001"/>
  </r>
  <r>
    <s v="I Can See You (Taylor’s Version) (From The Vault)"/>
    <s v="5kHMfzgLZP95O9NBy0ku4v"/>
    <n v="273186"/>
    <b v="0"/>
    <n v="19"/>
    <s v="5AEDGbliTTfjOB8TSm1sxt"/>
    <x v="4"/>
    <d v="2023-07-07T00:00:00"/>
    <n v="22"/>
    <s v="album"/>
    <s v="Taylor Swift"/>
    <s v="06HL4z0CvFAxyc27GXpf02"/>
    <n v="0.69499999999999995"/>
    <n v="0.76800000000000002"/>
    <n v="-4.883"/>
    <n v="3.44E-2"/>
    <n v="5.7700000000000001E-2"/>
    <n v="0"/>
    <n v="4.2599999999999999E-2"/>
    <n v="0.81299999999999994"/>
  </r>
  <r>
    <s v="Castles Crumbling (feat. Hayley Williams) (Taylor’s Version) (From The Vault)"/>
    <s v="4ABYxlb92WBIjHu7TIKmml"/>
    <n v="306062"/>
    <b v="0"/>
    <n v="20"/>
    <s v="5AEDGbliTTfjOB8TSm1sxt"/>
    <x v="4"/>
    <d v="2023-07-07T00:00:00"/>
    <n v="22"/>
    <s v="album"/>
    <s v="Taylor Swift"/>
    <s v="06HL4z0CvFAxyc27GXpf02"/>
    <n v="0.57799999999999996"/>
    <n v="0.56499999999999995"/>
    <n v="-8.0640000000000001"/>
    <n v="4.41E-2"/>
    <n v="0.34200000000000003"/>
    <n v="0"/>
    <n v="6.6199999999999995E-2"/>
    <n v="0.35099999999999998"/>
  </r>
  <r>
    <s v="Foolish One (Taylor’s Version) (From The Vault)"/>
    <s v="4s8BIKx4Zh6ryAEz8RTlaU"/>
    <n v="311765"/>
    <b v="0"/>
    <n v="21"/>
    <s v="5AEDGbliTTfjOB8TSm1sxt"/>
    <x v="4"/>
    <d v="2023-07-07T00:00:00"/>
    <n v="22"/>
    <s v="album"/>
    <s v="Taylor Swift"/>
    <s v="06HL4z0CvFAxyc27GXpf02"/>
    <n v="0.67200000000000004"/>
    <n v="0.61299999999999999"/>
    <n v="-4.7089999999999996"/>
    <n v="2.98E-2"/>
    <n v="0.59899999999999998"/>
    <n v="0"/>
    <n v="0.112"/>
    <n v="0.55700000000000005"/>
  </r>
  <r>
    <s v="Timeless (Taylor’s Version) (From The Vault)"/>
    <s v="1HCdems7PQZRj42QDWLA0A"/>
    <n v="321396"/>
    <b v="0"/>
    <n v="22"/>
    <s v="5AEDGbliTTfjOB8TSm1sxt"/>
    <x v="4"/>
    <d v="2023-07-07T00:00:00"/>
    <n v="22"/>
    <s v="album"/>
    <s v="Taylor Swift"/>
    <s v="06HL4z0CvFAxyc27GXpf02"/>
    <n v="0.629"/>
    <n v="0.57799999999999996"/>
    <n v="-5.806"/>
    <n v="3.1899999999999998E-2"/>
    <n v="0.33200000000000002"/>
    <n v="0"/>
    <n v="8.6800000000000002E-2"/>
    <n v="0.65100000000000002"/>
  </r>
  <r>
    <s v="Lavender Haze"/>
    <s v="24emu3sabKISjRkrys28jq"/>
    <n v="202395"/>
    <b v="1"/>
    <n v="1"/>
    <s v="1fnJ7k0bllNfL1kVdNVW1A"/>
    <x v="5"/>
    <d v="2023-05-26T00:00:00"/>
    <n v="23"/>
    <s v="album"/>
    <s v="Taylor Swift"/>
    <s v="06HL4z0CvFAxyc27GXpf02"/>
    <n v="0.73499999999999999"/>
    <n v="0.44900000000000001"/>
    <n v="-10.56"/>
    <n v="8.8300000000000003E-2"/>
    <n v="0.23"/>
    <n v="1.2600000000000001E-3"/>
    <n v="0.13200000000000001"/>
    <n v="9.5500000000000002E-2"/>
  </r>
  <r>
    <s v="Maroon"/>
    <s v="6qxvy9Pe4RJIq5JBVbbwbS"/>
    <n v="218270"/>
    <b v="1"/>
    <n v="2"/>
    <s v="1fnJ7k0bllNfL1kVdNVW1A"/>
    <x v="5"/>
    <d v="2023-05-26T00:00:00"/>
    <n v="23"/>
    <s v="album"/>
    <s v="Taylor Swift"/>
    <s v="06HL4z0CvFAxyc27GXpf02"/>
    <n v="0.65500000000000003"/>
    <n v="0.38400000000000001"/>
    <n v="-8.2899999999999991"/>
    <n v="3.49E-2"/>
    <n v="6.3399999999999998E-2"/>
    <n v="1.4500000000000001E-6"/>
    <n v="9.7299999999999998E-2"/>
    <n v="3.8399999999999997E-2"/>
  </r>
  <r>
    <s v="Anti-Hero"/>
    <s v="5qIHFdkW6phMsTZlN2g8Lc"/>
    <n v="200690"/>
    <b v="0"/>
    <n v="3"/>
    <s v="1fnJ7k0bllNfL1kVdNVW1A"/>
    <x v="5"/>
    <d v="2023-05-26T00:00:00"/>
    <n v="23"/>
    <s v="album"/>
    <s v="Taylor Swift"/>
    <s v="06HL4z0CvFAxyc27GXpf02"/>
    <n v="0.63300000000000001"/>
    <n v="0.64800000000000002"/>
    <n v="-6.6449999999999996"/>
    <n v="6.2E-2"/>
    <n v="0.121"/>
    <n v="2.6199999999999999E-6"/>
    <n v="0.161"/>
    <n v="0.49"/>
  </r>
  <r>
    <s v="Snow On The Beach (feat. Lana Del Rey)"/>
    <s v="7GA86Uo2jYbj8vIXe2nyWd"/>
    <n v="256124"/>
    <b v="1"/>
    <n v="4"/>
    <s v="1fnJ7k0bllNfL1kVdNVW1A"/>
    <x v="5"/>
    <d v="2023-05-26T00:00:00"/>
    <n v="23"/>
    <s v="album"/>
    <s v="Taylor Swift"/>
    <s v="06HL4z0CvFAxyc27GXpf02"/>
    <n v="0.66300000000000003"/>
    <n v="0.32100000000000001"/>
    <n v="-13.526999999999999"/>
    <n v="4.0899999999999999E-2"/>
    <n v="0.70099999999999996"/>
    <n v="5.9800000000000001E-4"/>
    <n v="0.107"/>
    <n v="0.153"/>
  </r>
  <r>
    <s v="You're On Your Own, Kid"/>
    <s v="6PQOU00xWNrGwCZzboriXy"/>
    <n v="194206"/>
    <b v="0"/>
    <n v="5"/>
    <s v="1fnJ7k0bllNfL1kVdNVW1A"/>
    <x v="5"/>
    <d v="2023-05-26T00:00:00"/>
    <n v="23"/>
    <s v="album"/>
    <s v="Taylor Swift"/>
    <s v="06HL4z0CvFAxyc27GXpf02"/>
    <n v="0.69599999999999995"/>
    <n v="0.39"/>
    <n v="-10.331"/>
    <n v="6.1600000000000002E-2"/>
    <n v="0.44700000000000001"/>
    <n v="1.5500000000000001E-5"/>
    <n v="0.125"/>
    <n v="0.39500000000000002"/>
  </r>
  <r>
    <s v="Midnight Rain"/>
    <s v="4eKMqf9ZMSclDX7V9Ptg7x"/>
    <n v="174782"/>
    <b v="0"/>
    <n v="6"/>
    <s v="1fnJ7k0bllNfL1kVdNVW1A"/>
    <x v="5"/>
    <d v="2023-05-26T00:00:00"/>
    <n v="23"/>
    <s v="album"/>
    <s v="Taylor Swift"/>
    <s v="06HL4z0CvFAxyc27GXpf02"/>
    <n v="0.60399999999999998"/>
    <n v="0.375"/>
    <n v="-11.637"/>
    <n v="6.3299999999999995E-2"/>
    <n v="0.71"/>
    <n v="5.8699999999999997E-5"/>
    <n v="0.11600000000000001"/>
    <n v="0.20300000000000001"/>
  </r>
  <r>
    <s v="Question...?"/>
    <s v="7oomkQSYf1ia2VnVEWfFIU"/>
    <n v="210556"/>
    <b v="1"/>
    <n v="7"/>
    <s v="1fnJ7k0bllNfL1kVdNVW1A"/>
    <x v="5"/>
    <d v="2023-05-26T00:00:00"/>
    <n v="23"/>
    <s v="album"/>
    <s v="Taylor Swift"/>
    <s v="06HL4z0CvFAxyc27GXpf02"/>
    <n v="0.65400000000000003"/>
    <n v="0.51"/>
    <n v="-8.7669999999999995"/>
    <n v="0.24199999999999999"/>
    <n v="0.20599999999999999"/>
    <n v="0"/>
    <n v="0.249"/>
    <n v="0.105"/>
  </r>
  <r>
    <s v="Vigilante Shit"/>
    <s v="0GKDhq6ZbmSbRHd3eyGlB7"/>
    <n v="164801"/>
    <b v="1"/>
    <n v="8"/>
    <s v="1fnJ7k0bllNfL1kVdNVW1A"/>
    <x v="5"/>
    <d v="2023-05-26T00:00:00"/>
    <n v="23"/>
    <s v="album"/>
    <s v="Taylor Swift"/>
    <s v="06HL4z0CvFAxyc27GXpf02"/>
    <n v="0.872"/>
    <n v="0.26700000000000002"/>
    <n v="-10.763999999999999"/>
    <n v="0.38700000000000001"/>
    <n v="0.16600000000000001"/>
    <n v="2.1800000000000001E-5"/>
    <n v="0.123"/>
    <n v="0.16800000000000001"/>
  </r>
  <r>
    <s v="Bejeweled"/>
    <s v="0VpF6RLdCfPIeYRwMu4tZK"/>
    <n v="194165"/>
    <b v="0"/>
    <n v="9"/>
    <s v="1fnJ7k0bllNfL1kVdNVW1A"/>
    <x v="5"/>
    <d v="2023-05-26T00:00:00"/>
    <n v="23"/>
    <s v="album"/>
    <s v="Taylor Swift"/>
    <s v="06HL4z0CvFAxyc27GXpf02"/>
    <n v="0.68700000000000006"/>
    <n v="0.55100000000000005"/>
    <n v="-9.202"/>
    <n v="7.8700000000000006E-2"/>
    <n v="5.9299999999999999E-2"/>
    <n v="1.4300000000000001E-4"/>
    <n v="0.09"/>
    <n v="0.443"/>
  </r>
  <r>
    <s v="Labyrinth"/>
    <s v="4bBDkw2KBMX0tcgAaXC83Q"/>
    <n v="247962"/>
    <b v="0"/>
    <n v="10"/>
    <s v="1fnJ7k0bllNfL1kVdNVW1A"/>
    <x v="5"/>
    <d v="2023-05-26T00:00:00"/>
    <n v="23"/>
    <s v="album"/>
    <s v="Taylor Swift"/>
    <s v="06HL4z0CvFAxyc27GXpf02"/>
    <n v="0.48"/>
    <n v="0.29499999999999998"/>
    <n v="-15.512"/>
    <n v="3.8399999999999997E-2"/>
    <n v="0.79700000000000004"/>
    <n v="0.33300000000000002"/>
    <n v="0.12"/>
    <n v="0.13200000000000001"/>
  </r>
  <r>
    <s v="Karma"/>
    <s v="45R112Jz5hQeKgITXgSXzs"/>
    <n v="204852"/>
    <b v="1"/>
    <n v="11"/>
    <s v="1fnJ7k0bllNfL1kVdNVW1A"/>
    <x v="5"/>
    <d v="2023-05-26T00:00:00"/>
    <n v="23"/>
    <s v="album"/>
    <s v="Taylor Swift"/>
    <s v="06HL4z0CvFAxyc27GXpf02"/>
    <n v="0.64"/>
    <n v="0.61899999999999999"/>
    <n v="-7.1079999999999997"/>
    <n v="6.5000000000000002E-2"/>
    <n v="6.2E-2"/>
    <n v="0"/>
    <n v="0.47499999999999998"/>
    <n v="0.121"/>
  </r>
  <r>
    <s v="Sweet Nothing"/>
    <s v="2L09RYwH5Pjzca6PmbUAw3"/>
    <n v="188496"/>
    <b v="0"/>
    <n v="12"/>
    <s v="1fnJ7k0bllNfL1kVdNVW1A"/>
    <x v="5"/>
    <d v="2023-05-26T00:00:00"/>
    <n v="23"/>
    <s v="album"/>
    <s v="Taylor Swift"/>
    <s v="06HL4z0CvFAxyc27GXpf02"/>
    <n v="0.33600000000000002"/>
    <n v="0.161"/>
    <n v="-14.973000000000001"/>
    <n v="4.5600000000000002E-2"/>
    <n v="0.96799999999999997"/>
    <n v="1.1E-4"/>
    <n v="0.115"/>
    <n v="0.40699999999999997"/>
  </r>
  <r>
    <s v="Mastermind"/>
    <s v="1QQii3pa5m8MEda0nbkjfw"/>
    <n v="191039"/>
    <b v="0"/>
    <n v="13"/>
    <s v="1fnJ7k0bllNfL1kVdNVW1A"/>
    <x v="5"/>
    <d v="2023-05-26T00:00:00"/>
    <n v="23"/>
    <s v="album"/>
    <s v="Taylor Swift"/>
    <s v="06HL4z0CvFAxyc27GXpf02"/>
    <n v="0.66"/>
    <n v="0.34300000000000003"/>
    <n v="-14.132"/>
    <n v="0.14000000000000001"/>
    <n v="0.56499999999999995"/>
    <n v="1.34E-3"/>
    <n v="9.2200000000000004E-2"/>
    <n v="0.13700000000000001"/>
  </r>
  <r>
    <s v="The Great War"/>
    <s v="2VuqMjgoKaOHNM8HpxtXKx"/>
    <n v="240355"/>
    <b v="0"/>
    <n v="14"/>
    <s v="1fnJ7k0bllNfL1kVdNVW1A"/>
    <x v="5"/>
    <d v="2023-05-26T00:00:00"/>
    <n v="23"/>
    <s v="album"/>
    <s v="Taylor Swift"/>
    <s v="06HL4z0CvFAxyc27GXpf02"/>
    <n v="0.56999999999999995"/>
    <n v="0.747"/>
    <n v="-8.93"/>
    <n v="3.4200000000000001E-2"/>
    <n v="0.19900000000000001"/>
    <n v="2.3200000000000001E-5"/>
    <n v="8.5400000000000004E-2"/>
    <n v="0.57399999999999995"/>
  </r>
  <r>
    <s v="Bigger Than The Whole Sky"/>
    <s v="71CBDRKmF2VeRKYMG1DFBh"/>
    <n v="218502"/>
    <b v="0"/>
    <n v="15"/>
    <s v="1fnJ7k0bllNfL1kVdNVW1A"/>
    <x v="5"/>
    <d v="2023-05-26T00:00:00"/>
    <n v="23"/>
    <s v="album"/>
    <s v="Taylor Swift"/>
    <s v="06HL4z0CvFAxyc27GXpf02"/>
    <n v="0.42"/>
    <n v="0.22"/>
    <n v="-12.584"/>
    <n v="4.7199999999999999E-2"/>
    <n v="0.84099999999999997"/>
    <n v="1.31E-3"/>
    <n v="0.114"/>
    <n v="7.0499999999999993E-2"/>
  </r>
  <r>
    <s v="Paris"/>
    <s v="5tWxKWq1DSP1s9WQ5PWuqu"/>
    <n v="196258"/>
    <b v="0"/>
    <n v="16"/>
    <s v="1fnJ7k0bllNfL1kVdNVW1A"/>
    <x v="5"/>
    <d v="2023-05-26T00:00:00"/>
    <n v="23"/>
    <s v="album"/>
    <s v="Taylor Swift"/>
    <s v="06HL4z0CvFAxyc27GXpf02"/>
    <n v="0.70299999999999996"/>
    <n v="0.51800000000000002"/>
    <n v="-10.500999999999999"/>
    <n v="8.5000000000000006E-2"/>
    <n v="0.10299999999999999"/>
    <n v="2.8900000000000001E-5"/>
    <n v="0.14799999999999999"/>
    <n v="0.34699999999999998"/>
  </r>
  <r>
    <s v="High Infidelity"/>
    <s v="1SztNGCwEHJEVFx90E5g7D"/>
    <n v="231475"/>
    <b v="0"/>
    <n v="17"/>
    <s v="1fnJ7k0bllNfL1kVdNVW1A"/>
    <x v="5"/>
    <d v="2023-05-26T00:00:00"/>
    <n v="23"/>
    <s v="album"/>
    <s v="Taylor Swift"/>
    <s v="06HL4z0CvFAxyc27GXpf02"/>
    <n v="0.57099999999999995"/>
    <n v="0.54700000000000004"/>
    <n v="-10.141"/>
    <n v="0.10100000000000001"/>
    <n v="0.70399999999999996"/>
    <n v="0"/>
    <n v="8.77E-2"/>
    <n v="0.76800000000000002"/>
  </r>
  <r>
    <s v="Glitch"/>
    <s v="7C0w28EsX0Um2FrZs9gso2"/>
    <n v="148781"/>
    <b v="0"/>
    <n v="18"/>
    <s v="1fnJ7k0bllNfL1kVdNVW1A"/>
    <x v="5"/>
    <d v="2023-05-26T00:00:00"/>
    <n v="23"/>
    <s v="album"/>
    <s v="Taylor Swift"/>
    <s v="06HL4z0CvFAxyc27GXpf02"/>
    <n v="0.67700000000000005"/>
    <n v="0.47"/>
    <n v="-9.65"/>
    <n v="0.25900000000000001"/>
    <n v="0.314"/>
    <n v="0"/>
    <n v="0.11"/>
    <n v="0.34699999999999998"/>
  </r>
  <r>
    <s v="Would've, Could've, Should've"/>
    <s v="4txojlesMFQZGWxwz2EeqB"/>
    <n v="260361"/>
    <b v="0"/>
    <n v="19"/>
    <s v="1fnJ7k0bllNfL1kVdNVW1A"/>
    <x v="5"/>
    <d v="2023-05-26T00:00:00"/>
    <n v="23"/>
    <s v="album"/>
    <s v="Taylor Swift"/>
    <s v="06HL4z0CvFAxyc27GXpf02"/>
    <n v="0.48499999999999999"/>
    <n v="0.84599999999999997"/>
    <n v="-6.5570000000000004"/>
    <n v="0.11700000000000001"/>
    <n v="0.39300000000000002"/>
    <n v="1.15E-3"/>
    <n v="0.124"/>
    <n v="0.54800000000000004"/>
  </r>
  <r>
    <s v="Dear Reader"/>
    <s v="10GRRCR5fctuOF4GFmATJI"/>
    <n v="225194"/>
    <b v="0"/>
    <n v="20"/>
    <s v="1fnJ7k0bllNfL1kVdNVW1A"/>
    <x v="5"/>
    <d v="2023-05-26T00:00:00"/>
    <n v="23"/>
    <s v="album"/>
    <s v="Taylor Swift"/>
    <s v="06HL4z0CvFAxyc27GXpf02"/>
    <n v="0.67400000000000004"/>
    <n v="0.39"/>
    <n v="-11.944000000000001"/>
    <n v="4.8300000000000003E-2"/>
    <n v="0.46400000000000002"/>
    <n v="1.2199999999999999E-3"/>
    <n v="0.11600000000000001"/>
    <n v="0.151"/>
  </r>
  <r>
    <s v="Hits Different"/>
    <s v="3xYJScVfxByb61dYHTwiby"/>
    <n v="234466"/>
    <b v="1"/>
    <n v="21"/>
    <s v="1fnJ7k0bllNfL1kVdNVW1A"/>
    <x v="5"/>
    <d v="2023-05-26T00:00:00"/>
    <n v="23"/>
    <s v="album"/>
    <s v="Taylor Swift"/>
    <s v="06HL4z0CvFAxyc27GXpf02"/>
    <n v="0.66600000000000004"/>
    <n v="0.78600000000000003"/>
    <n v="-6.556"/>
    <n v="4.3900000000000002E-2"/>
    <n v="0.13400000000000001"/>
    <n v="3.3400000000000002E-6"/>
    <n v="0.26500000000000001"/>
    <n v="0.26100000000000001"/>
  </r>
  <r>
    <s v="Snow On The Beach (feat. More Lana Del Rey)"/>
    <s v="4zmKGsrXjLmljb5fTaBTot"/>
    <n v="229942"/>
    <b v="1"/>
    <n v="22"/>
    <s v="1fnJ7k0bllNfL1kVdNVW1A"/>
    <x v="5"/>
    <d v="2023-05-26T00:00:00"/>
    <n v="23"/>
    <s v="album"/>
    <s v="Taylor Swift"/>
    <s v="06HL4z0CvFAxyc27GXpf02"/>
    <n v="0.66400000000000003"/>
    <n v="0.39900000000000002"/>
    <n v="-10.997"/>
    <n v="3.49E-2"/>
    <n v="0.79700000000000004"/>
    <n v="3.1300000000000001E-6"/>
    <n v="0.105"/>
    <n v="0.26500000000000001"/>
  </r>
  <r>
    <s v="Karma (feat. Ice Spice)"/>
    <s v="4i6cwNY6oIUU2XZxPIw82Y"/>
    <n v="201493"/>
    <b v="1"/>
    <n v="23"/>
    <s v="1fnJ7k0bllNfL1kVdNVW1A"/>
    <x v="5"/>
    <d v="2023-05-26T00:00:00"/>
    <n v="23"/>
    <s v="album"/>
    <s v="Taylor Swift"/>
    <s v="06HL4z0CvFAxyc27GXpf02"/>
    <n v="0.61499999999999999"/>
    <n v="0.626"/>
    <n v="-6.548"/>
    <n v="7.7799999999999994E-2"/>
    <n v="5.74E-2"/>
    <n v="0"/>
    <n v="0.59599999999999997"/>
    <n v="7.0499999999999993E-2"/>
  </r>
  <r>
    <s v="Lavender Haze"/>
    <s v="4g2c7NoTWAOSYDy44l9nub"/>
    <n v="202395"/>
    <b v="1"/>
    <n v="1"/>
    <s v="3lS1y25WAhcqJDATJK70Mq"/>
    <x v="6"/>
    <d v="2022-10-22T00:00:00"/>
    <n v="20"/>
    <s v="album"/>
    <s v="Taylor Swift"/>
    <s v="06HL4z0CvFAxyc27GXpf02"/>
    <n v="0.73499999999999999"/>
    <n v="0.44900000000000001"/>
    <n v="-10.56"/>
    <n v="8.8300000000000003E-2"/>
    <n v="0.23"/>
    <n v="1.2600000000000001E-3"/>
    <n v="0.13200000000000001"/>
    <n v="9.5500000000000002E-2"/>
  </r>
  <r>
    <s v="Maroon"/>
    <s v="199E1RRrVmVTQqBXih5qRC"/>
    <n v="218270"/>
    <b v="1"/>
    <n v="2"/>
    <s v="3lS1y25WAhcqJDATJK70Mq"/>
    <x v="6"/>
    <d v="2022-10-22T00:00:00"/>
    <n v="20"/>
    <s v="album"/>
    <s v="Taylor Swift"/>
    <s v="06HL4z0CvFAxyc27GXpf02"/>
    <n v="0.65500000000000003"/>
    <n v="0.38400000000000001"/>
    <n v="-8.2899999999999991"/>
    <n v="3.49E-2"/>
    <n v="6.3399999999999998E-2"/>
    <n v="1.4500000000000001E-6"/>
    <n v="9.7299999999999998E-2"/>
    <n v="3.8399999999999997E-2"/>
  </r>
  <r>
    <s v="Anti-Hero"/>
    <s v="02Zkkf2zMkwRGQjZ7T4p8f"/>
    <n v="200690"/>
    <b v="0"/>
    <n v="3"/>
    <s v="3lS1y25WAhcqJDATJK70Mq"/>
    <x v="6"/>
    <d v="2022-10-22T00:00:00"/>
    <n v="20"/>
    <s v="album"/>
    <s v="Taylor Swift"/>
    <s v="06HL4z0CvFAxyc27GXpf02"/>
    <n v="0.63300000000000001"/>
    <n v="0.64800000000000002"/>
    <n v="-6.6449999999999996"/>
    <n v="6.2E-2"/>
    <n v="0.121"/>
    <n v="2.6199999999999999E-6"/>
    <n v="0.161"/>
    <n v="0.49"/>
  </r>
  <r>
    <s v="Snow On The Beach (feat. Lana Del Rey)"/>
    <s v="6ADDIJxxqzM9LMpm78yzQG"/>
    <n v="256124"/>
    <b v="1"/>
    <n v="4"/>
    <s v="3lS1y25WAhcqJDATJK70Mq"/>
    <x v="6"/>
    <d v="2022-10-22T00:00:00"/>
    <n v="20"/>
    <s v="album"/>
    <s v="Taylor Swift"/>
    <s v="06HL4z0CvFAxyc27GXpf02"/>
    <n v="0.66300000000000003"/>
    <n v="0.32100000000000001"/>
    <n v="-13.526999999999999"/>
    <n v="4.0899999999999999E-2"/>
    <n v="0.70099999999999996"/>
    <n v="5.9800000000000001E-4"/>
    <n v="0.107"/>
    <n v="0.153"/>
  </r>
  <r>
    <s v="You're On Your Own, Kid"/>
    <s v="7gVWKBcfIW93YxNBi3ApIE"/>
    <n v="194206"/>
    <b v="0"/>
    <n v="5"/>
    <s v="3lS1y25WAhcqJDATJK70Mq"/>
    <x v="6"/>
    <d v="2022-10-22T00:00:00"/>
    <n v="20"/>
    <s v="album"/>
    <s v="Taylor Swift"/>
    <s v="06HL4z0CvFAxyc27GXpf02"/>
    <n v="0.69599999999999995"/>
    <n v="0.39"/>
    <n v="-10.331"/>
    <n v="6.1600000000000002E-2"/>
    <n v="0.44700000000000001"/>
    <n v="1.5500000000000001E-5"/>
    <n v="0.125"/>
    <n v="0.39500000000000002"/>
  </r>
  <r>
    <s v="Midnight Rain"/>
    <s v="6Nl7KyvjkFncGsjB49SxLl"/>
    <n v="174782"/>
    <b v="0"/>
    <n v="6"/>
    <s v="3lS1y25WAhcqJDATJK70Mq"/>
    <x v="6"/>
    <d v="2022-10-22T00:00:00"/>
    <n v="20"/>
    <s v="album"/>
    <s v="Taylor Swift"/>
    <s v="06HL4z0CvFAxyc27GXpf02"/>
    <n v="0.60399999999999998"/>
    <n v="0.375"/>
    <n v="-11.637"/>
    <n v="6.3299999999999995E-2"/>
    <n v="0.71"/>
    <n v="5.8699999999999997E-5"/>
    <n v="0.11600000000000001"/>
    <n v="0.20300000000000001"/>
  </r>
  <r>
    <s v="Question...?"/>
    <s v="6C7OF1Jal7YkyjzyUG8vkK"/>
    <n v="210556"/>
    <b v="1"/>
    <n v="7"/>
    <s v="3lS1y25WAhcqJDATJK70Mq"/>
    <x v="6"/>
    <d v="2022-10-22T00:00:00"/>
    <n v="20"/>
    <s v="album"/>
    <s v="Taylor Swift"/>
    <s v="06HL4z0CvFAxyc27GXpf02"/>
    <n v="0.65400000000000003"/>
    <n v="0.51"/>
    <n v="-8.7669999999999995"/>
    <n v="0.24199999999999999"/>
    <n v="0.20599999999999999"/>
    <n v="0"/>
    <n v="0.249"/>
    <n v="0.105"/>
  </r>
  <r>
    <s v="Vigilante Shit"/>
    <s v="5yeuXkukVGuix3vmLu2BPJ"/>
    <n v="164801"/>
    <b v="1"/>
    <n v="8"/>
    <s v="3lS1y25WAhcqJDATJK70Mq"/>
    <x v="6"/>
    <d v="2022-10-22T00:00:00"/>
    <n v="20"/>
    <s v="album"/>
    <s v="Taylor Swift"/>
    <s v="06HL4z0CvFAxyc27GXpf02"/>
    <n v="0.872"/>
    <n v="0.26700000000000002"/>
    <n v="-10.763999999999999"/>
    <n v="0.38700000000000001"/>
    <n v="0.16600000000000001"/>
    <n v="2.1800000000000001E-5"/>
    <n v="0.123"/>
    <n v="0.16800000000000001"/>
  </r>
  <r>
    <s v="Bejeweled"/>
    <s v="0jvo9CjnbR0lYUDTSNTMiu"/>
    <n v="194165"/>
    <b v="0"/>
    <n v="9"/>
    <s v="3lS1y25WAhcqJDATJK70Mq"/>
    <x v="6"/>
    <d v="2022-10-22T00:00:00"/>
    <n v="20"/>
    <s v="album"/>
    <s v="Taylor Swift"/>
    <s v="06HL4z0CvFAxyc27GXpf02"/>
    <n v="0.68700000000000006"/>
    <n v="0.55100000000000005"/>
    <n v="-9.202"/>
    <n v="7.8700000000000006E-2"/>
    <n v="5.9299999999999999E-2"/>
    <n v="1.4300000000000001E-4"/>
    <n v="0.09"/>
    <n v="0.443"/>
  </r>
  <r>
    <s v="Labyrinth"/>
    <s v="43q586vP8gGkYypKoSddhl"/>
    <n v="247962"/>
    <b v="0"/>
    <n v="10"/>
    <s v="3lS1y25WAhcqJDATJK70Mq"/>
    <x v="6"/>
    <d v="2022-10-22T00:00:00"/>
    <n v="20"/>
    <s v="album"/>
    <s v="Taylor Swift"/>
    <s v="06HL4z0CvFAxyc27GXpf02"/>
    <n v="0.48"/>
    <n v="0.29499999999999998"/>
    <n v="-15.512"/>
    <n v="3.8399999999999997E-2"/>
    <n v="0.79700000000000004"/>
    <n v="0.33300000000000002"/>
    <n v="0.12"/>
    <n v="0.13200000000000001"/>
  </r>
  <r>
    <s v="Karma"/>
    <s v="5oqDgw5VGBln5dSIOPWyBq"/>
    <n v="204852"/>
    <b v="1"/>
    <n v="11"/>
    <s v="3lS1y25WAhcqJDATJK70Mq"/>
    <x v="6"/>
    <d v="2022-10-22T00:00:00"/>
    <n v="20"/>
    <s v="album"/>
    <s v="Taylor Swift"/>
    <s v="06HL4z0CvFAxyc27GXpf02"/>
    <n v="0.64"/>
    <n v="0.61899999999999999"/>
    <n v="-7.1079999999999997"/>
    <n v="6.5000000000000002E-2"/>
    <n v="6.2E-2"/>
    <n v="0"/>
    <n v="0.47499999999999998"/>
    <n v="0.121"/>
  </r>
  <r>
    <s v="Sweet Nothing"/>
    <s v="3zmwONxswBAzGwExPugSLN"/>
    <n v="188496"/>
    <b v="0"/>
    <n v="12"/>
    <s v="3lS1y25WAhcqJDATJK70Mq"/>
    <x v="6"/>
    <d v="2022-10-22T00:00:00"/>
    <n v="20"/>
    <s v="album"/>
    <s v="Taylor Swift"/>
    <s v="06HL4z0CvFAxyc27GXpf02"/>
    <n v="0.33600000000000002"/>
    <n v="0.161"/>
    <n v="-14.973000000000001"/>
    <n v="4.5600000000000002E-2"/>
    <n v="0.96799999999999997"/>
    <n v="1.1E-4"/>
    <n v="0.115"/>
    <n v="0.40699999999999997"/>
  </r>
  <r>
    <s v="Mastermind"/>
    <s v="56hioFjQ0DXrdn04hZcFgG"/>
    <n v="191039"/>
    <b v="0"/>
    <n v="13"/>
    <s v="3lS1y25WAhcqJDATJK70Mq"/>
    <x v="6"/>
    <d v="2022-10-22T00:00:00"/>
    <n v="20"/>
    <s v="album"/>
    <s v="Taylor Swift"/>
    <s v="06HL4z0CvFAxyc27GXpf02"/>
    <n v="0.66"/>
    <n v="0.34300000000000003"/>
    <n v="-14.132"/>
    <n v="0.14000000000000001"/>
    <n v="0.56499999999999995"/>
    <n v="1.34E-3"/>
    <n v="9.2200000000000004E-2"/>
    <n v="0.13700000000000001"/>
  </r>
  <r>
    <s v="The Great War"/>
    <s v="3UMrglJeju5yWyYIW6o99b"/>
    <n v="240355"/>
    <b v="0"/>
    <n v="14"/>
    <s v="3lS1y25WAhcqJDATJK70Mq"/>
    <x v="6"/>
    <d v="2022-10-22T00:00:00"/>
    <n v="20"/>
    <s v="album"/>
    <s v="Taylor Swift"/>
    <s v="06HL4z0CvFAxyc27GXpf02"/>
    <n v="0.56999999999999995"/>
    <n v="0.747"/>
    <n v="-8.93"/>
    <n v="3.4200000000000001E-2"/>
    <n v="0.19900000000000001"/>
    <n v="2.3200000000000001E-5"/>
    <n v="8.5400000000000004E-2"/>
    <n v="0.57399999999999995"/>
  </r>
  <r>
    <s v="Bigger Than The Whole Sky"/>
    <s v="0BiqmkasE5FdrChwKfVp8X"/>
    <n v="218502"/>
    <b v="0"/>
    <n v="15"/>
    <s v="3lS1y25WAhcqJDATJK70Mq"/>
    <x v="6"/>
    <d v="2022-10-22T00:00:00"/>
    <n v="20"/>
    <s v="album"/>
    <s v="Taylor Swift"/>
    <s v="06HL4z0CvFAxyc27GXpf02"/>
    <n v="0.42"/>
    <n v="0.22"/>
    <n v="-12.584"/>
    <n v="4.7199999999999999E-2"/>
    <n v="0.84099999999999997"/>
    <n v="1.31E-3"/>
    <n v="0.114"/>
    <n v="7.0499999999999993E-2"/>
  </r>
  <r>
    <s v="Paris"/>
    <s v="7712gjoih4QoDbXpljEk21"/>
    <n v="196258"/>
    <b v="0"/>
    <n v="16"/>
    <s v="3lS1y25WAhcqJDATJK70Mq"/>
    <x v="6"/>
    <d v="2022-10-22T00:00:00"/>
    <n v="20"/>
    <s v="album"/>
    <s v="Taylor Swift"/>
    <s v="06HL4z0CvFAxyc27GXpf02"/>
    <n v="0.70299999999999996"/>
    <n v="0.51800000000000002"/>
    <n v="-10.500999999999999"/>
    <n v="8.5000000000000006E-2"/>
    <n v="0.10299999999999999"/>
    <n v="2.8900000000000001E-5"/>
    <n v="0.14799999999999999"/>
    <n v="0.34699999999999998"/>
  </r>
  <r>
    <s v="High Infidelity"/>
    <s v="5kiZGSxgqPdv6rbqL9THdd"/>
    <n v="231475"/>
    <b v="0"/>
    <n v="17"/>
    <s v="3lS1y25WAhcqJDATJK70Mq"/>
    <x v="6"/>
    <d v="2022-10-22T00:00:00"/>
    <n v="20"/>
    <s v="album"/>
    <s v="Taylor Swift"/>
    <s v="06HL4z0CvFAxyc27GXpf02"/>
    <n v="0.57099999999999995"/>
    <n v="0.54700000000000004"/>
    <n v="-10.141"/>
    <n v="0.10100000000000001"/>
    <n v="0.70399999999999996"/>
    <n v="0"/>
    <n v="8.77E-2"/>
    <n v="0.76800000000000002"/>
  </r>
  <r>
    <s v="Glitch"/>
    <s v="6wAFvJPpTZVirBKGZ4EnMW"/>
    <n v="148781"/>
    <b v="0"/>
    <n v="18"/>
    <s v="3lS1y25WAhcqJDATJK70Mq"/>
    <x v="6"/>
    <d v="2022-10-22T00:00:00"/>
    <n v="20"/>
    <s v="album"/>
    <s v="Taylor Swift"/>
    <s v="06HL4z0CvFAxyc27GXpf02"/>
    <n v="0.67700000000000005"/>
    <n v="0.47"/>
    <n v="-9.65"/>
    <n v="0.25900000000000001"/>
    <n v="0.314"/>
    <n v="0"/>
    <n v="0.11"/>
    <n v="0.34699999999999998"/>
  </r>
  <r>
    <s v="Would've, Could've, Should've"/>
    <s v="0aV5uARAknQgYhBaK944FP"/>
    <n v="260361"/>
    <b v="0"/>
    <n v="19"/>
    <s v="3lS1y25WAhcqJDATJK70Mq"/>
    <x v="6"/>
    <d v="2022-10-22T00:00:00"/>
    <n v="20"/>
    <s v="album"/>
    <s v="Taylor Swift"/>
    <s v="06HL4z0CvFAxyc27GXpf02"/>
    <n v="0.48499999999999999"/>
    <n v="0.84599999999999997"/>
    <n v="-6.5570000000000004"/>
    <n v="0.11700000000000001"/>
    <n v="0.39300000000000002"/>
    <n v="1.15E-3"/>
    <n v="0.124"/>
    <n v="0.54800000000000004"/>
  </r>
  <r>
    <s v="Dear Reader"/>
    <s v="3QF5RsWzK1lCvf2o2cY65P"/>
    <n v="225194"/>
    <b v="0"/>
    <n v="20"/>
    <s v="3lS1y25WAhcqJDATJK70Mq"/>
    <x v="6"/>
    <d v="2022-10-22T00:00:00"/>
    <n v="20"/>
    <s v="album"/>
    <s v="Taylor Swift"/>
    <s v="06HL4z0CvFAxyc27GXpf02"/>
    <n v="0.67400000000000004"/>
    <n v="0.39"/>
    <n v="-11.944000000000001"/>
    <n v="4.8300000000000003E-2"/>
    <n v="0.46400000000000002"/>
    <n v="1.2199999999999999E-3"/>
    <n v="0.11600000000000001"/>
    <n v="0.151"/>
  </r>
  <r>
    <s v="Lavender Haze"/>
    <s v="5jQI2r1RdgtuT8S3iG8zFC"/>
    <n v="202395"/>
    <b v="1"/>
    <n v="1"/>
    <s v="151w1FgRZfnKZA9FEcg9Z3"/>
    <x v="7"/>
    <d v="2022-10-21T00:00:00"/>
    <n v="13"/>
    <s v="album"/>
    <s v="Taylor Swift"/>
    <s v="06HL4z0CvFAxyc27GXpf02"/>
    <n v="0.73499999999999999"/>
    <n v="0.44900000000000001"/>
    <n v="-10.56"/>
    <n v="8.8300000000000003E-2"/>
    <n v="0.23"/>
    <n v="1.2600000000000001E-3"/>
    <n v="0.13200000000000001"/>
    <n v="9.5500000000000002E-2"/>
  </r>
  <r>
    <s v="Maroon"/>
    <s v="3eX0NZfLtGzoLUxPNvRfqm"/>
    <n v="218270"/>
    <b v="1"/>
    <n v="2"/>
    <s v="151w1FgRZfnKZA9FEcg9Z3"/>
    <x v="7"/>
    <d v="2022-10-21T00:00:00"/>
    <n v="13"/>
    <s v="album"/>
    <s v="Taylor Swift"/>
    <s v="06HL4z0CvFAxyc27GXpf02"/>
    <n v="0.65500000000000003"/>
    <n v="0.38400000000000001"/>
    <n v="-8.2899999999999991"/>
    <n v="3.49E-2"/>
    <n v="6.3399999999999998E-2"/>
    <n v="1.4500000000000001E-6"/>
    <n v="9.7299999999999998E-2"/>
    <n v="3.8399999999999997E-2"/>
  </r>
  <r>
    <s v="Anti-Hero"/>
    <s v="0V3wPSX9ygBnCm8psDIegu"/>
    <n v="200690"/>
    <b v="0"/>
    <n v="3"/>
    <s v="151w1FgRZfnKZA9FEcg9Z3"/>
    <x v="7"/>
    <d v="2022-10-21T00:00:00"/>
    <n v="13"/>
    <s v="album"/>
    <s v="Taylor Swift"/>
    <s v="06HL4z0CvFAxyc27GXpf02"/>
    <n v="0.63300000000000001"/>
    <n v="0.64800000000000002"/>
    <n v="-6.6449999999999996"/>
    <n v="6.2E-2"/>
    <n v="0.121"/>
    <n v="2.6199999999999999E-6"/>
    <n v="0.161"/>
    <n v="0.49"/>
  </r>
  <r>
    <s v="Snow On The Beach (feat. Lana Del Rey)"/>
    <s v="1wtOxkiel43cVs0Yux5Q4h"/>
    <n v="256124"/>
    <b v="1"/>
    <n v="4"/>
    <s v="151w1FgRZfnKZA9FEcg9Z3"/>
    <x v="7"/>
    <d v="2022-10-21T00:00:00"/>
    <n v="13"/>
    <s v="album"/>
    <s v="Taylor Swift"/>
    <s v="06HL4z0CvFAxyc27GXpf02"/>
    <n v="0.66300000000000003"/>
    <n v="0.32100000000000001"/>
    <n v="-13.526999999999999"/>
    <n v="4.0899999999999999E-2"/>
    <n v="0.70099999999999996"/>
    <n v="5.9800000000000001E-4"/>
    <n v="0.107"/>
    <n v="0.153"/>
  </r>
  <r>
    <s v="You're On Your Own, Kid"/>
    <s v="4D7BCuvgdJlYvlX5WlN54t"/>
    <n v="194206"/>
    <b v="0"/>
    <n v="5"/>
    <s v="151w1FgRZfnKZA9FEcg9Z3"/>
    <x v="7"/>
    <d v="2022-10-21T00:00:00"/>
    <n v="13"/>
    <s v="album"/>
    <s v="Taylor Swift"/>
    <s v="06HL4z0CvFAxyc27GXpf02"/>
    <n v="0.69599999999999995"/>
    <n v="0.39"/>
    <n v="-10.331"/>
    <n v="6.1600000000000002E-2"/>
    <n v="0.44700000000000001"/>
    <n v="1.5500000000000001E-5"/>
    <n v="0.125"/>
    <n v="0.39500000000000002"/>
  </r>
  <r>
    <s v="Midnight Rain"/>
    <s v="3rWDp9tBPQR9z6U5YyRSK4"/>
    <n v="174782"/>
    <b v="0"/>
    <n v="6"/>
    <s v="151w1FgRZfnKZA9FEcg9Z3"/>
    <x v="7"/>
    <d v="2022-10-21T00:00:00"/>
    <n v="13"/>
    <s v="album"/>
    <s v="Taylor Swift"/>
    <s v="06HL4z0CvFAxyc27GXpf02"/>
    <n v="0.60399999999999998"/>
    <n v="0.375"/>
    <n v="-11.637"/>
    <n v="6.3299999999999995E-2"/>
    <n v="0.71"/>
    <n v="5.8699999999999997E-5"/>
    <n v="0.11600000000000001"/>
    <n v="0.20300000000000001"/>
  </r>
  <r>
    <s v="Question...?"/>
    <s v="0heeNYlwOGuUSe7TgUD27B"/>
    <n v="210556"/>
    <b v="1"/>
    <n v="7"/>
    <s v="151w1FgRZfnKZA9FEcg9Z3"/>
    <x v="7"/>
    <d v="2022-10-21T00:00:00"/>
    <n v="13"/>
    <s v="album"/>
    <s v="Taylor Swift"/>
    <s v="06HL4z0CvFAxyc27GXpf02"/>
    <n v="0.65400000000000003"/>
    <n v="0.51"/>
    <n v="-8.7669999999999995"/>
    <n v="0.24199999999999999"/>
    <n v="0.20599999999999999"/>
    <n v="0"/>
    <n v="0.249"/>
    <n v="0.105"/>
  </r>
  <r>
    <s v="Vigilante Shit"/>
    <s v="1xwAWUI6Dj0WGC3KiUPN0O"/>
    <n v="164801"/>
    <b v="1"/>
    <n v="8"/>
    <s v="151w1FgRZfnKZA9FEcg9Z3"/>
    <x v="7"/>
    <d v="2022-10-21T00:00:00"/>
    <n v="13"/>
    <s v="album"/>
    <s v="Taylor Swift"/>
    <s v="06HL4z0CvFAxyc27GXpf02"/>
    <n v="0.872"/>
    <n v="0.26700000000000002"/>
    <n v="-10.763999999999999"/>
    <n v="0.38700000000000001"/>
    <n v="0.16600000000000001"/>
    <n v="2.1800000000000001E-5"/>
    <n v="0.123"/>
    <n v="0.16800000000000001"/>
  </r>
  <r>
    <s v="Bejeweled"/>
    <s v="3qoftcUZaUOncvIYjFSPdE"/>
    <n v="194165"/>
    <b v="0"/>
    <n v="9"/>
    <s v="151w1FgRZfnKZA9FEcg9Z3"/>
    <x v="7"/>
    <d v="2022-10-21T00:00:00"/>
    <n v="13"/>
    <s v="album"/>
    <s v="Taylor Swift"/>
    <s v="06HL4z0CvFAxyc27GXpf02"/>
    <n v="0.68700000000000006"/>
    <n v="0.55100000000000005"/>
    <n v="-9.202"/>
    <n v="7.8700000000000006E-2"/>
    <n v="5.9299999999999999E-2"/>
    <n v="1.4300000000000001E-4"/>
    <n v="0.09"/>
    <n v="0.443"/>
  </r>
  <r>
    <s v="Labyrinth"/>
    <s v="0A1JLUlkZkp2EFrosoNQi0"/>
    <n v="247962"/>
    <b v="0"/>
    <n v="10"/>
    <s v="151w1FgRZfnKZA9FEcg9Z3"/>
    <x v="7"/>
    <d v="2022-10-21T00:00:00"/>
    <n v="13"/>
    <s v="album"/>
    <s v="Taylor Swift"/>
    <s v="06HL4z0CvFAxyc27GXpf02"/>
    <n v="0.48"/>
    <n v="0.29499999999999998"/>
    <n v="-15.512"/>
    <n v="3.8399999999999997E-2"/>
    <n v="0.79700000000000004"/>
    <n v="0.33300000000000002"/>
    <n v="0.12"/>
    <n v="0.13200000000000001"/>
  </r>
  <r>
    <s v="Karma"/>
    <s v="7KokYm8cMIXCsGVmUvKtqf"/>
    <n v="204852"/>
    <b v="1"/>
    <n v="11"/>
    <s v="151w1FgRZfnKZA9FEcg9Z3"/>
    <x v="7"/>
    <d v="2022-10-21T00:00:00"/>
    <n v="13"/>
    <s v="album"/>
    <s v="Taylor Swift"/>
    <s v="06HL4z0CvFAxyc27GXpf02"/>
    <n v="0.64"/>
    <n v="0.61899999999999999"/>
    <n v="-7.1079999999999997"/>
    <n v="6.5000000000000002E-2"/>
    <n v="6.2E-2"/>
    <n v="0"/>
    <n v="0.47499999999999998"/>
    <n v="0.121"/>
  </r>
  <r>
    <s v="Sweet Nothing"/>
    <s v="0wavGRldH0AWyu2zvTz8zb"/>
    <n v="188496"/>
    <b v="0"/>
    <n v="12"/>
    <s v="151w1FgRZfnKZA9FEcg9Z3"/>
    <x v="7"/>
    <d v="2022-10-21T00:00:00"/>
    <n v="13"/>
    <s v="album"/>
    <s v="Taylor Swift"/>
    <s v="06HL4z0CvFAxyc27GXpf02"/>
    <n v="0.33600000000000002"/>
    <n v="0.161"/>
    <n v="-14.973000000000001"/>
    <n v="4.5600000000000002E-2"/>
    <n v="0.96799999999999997"/>
    <n v="1.1E-4"/>
    <n v="0.115"/>
    <n v="0.40699999999999997"/>
  </r>
  <r>
    <s v="Mastermind"/>
    <s v="7FmYn9e7KHMXcxqGSj9LjH"/>
    <n v="191039"/>
    <b v="0"/>
    <n v="13"/>
    <s v="151w1FgRZfnKZA9FEcg9Z3"/>
    <x v="7"/>
    <d v="2022-10-21T00:00:00"/>
    <n v="13"/>
    <s v="album"/>
    <s v="Taylor Swift"/>
    <s v="06HL4z0CvFAxyc27GXpf02"/>
    <n v="0.66"/>
    <n v="0.34300000000000003"/>
    <n v="-14.132"/>
    <n v="0.14000000000000001"/>
    <n v="0.56499999999999995"/>
    <n v="1.34E-3"/>
    <n v="9.2200000000000004E-2"/>
    <n v="0.13700000000000001"/>
  </r>
  <r>
    <s v="State Of Grace (Taylor's Version)"/>
    <s v="6lzc0Al0zfZOIFsFvBS1ki"/>
    <n v="295413"/>
    <b v="0"/>
    <n v="1"/>
    <s v="6kZ42qRrzov54LcAk4onW9"/>
    <x v="8"/>
    <d v="2021-11-12T00:00:00"/>
    <n v="30"/>
    <s v="album"/>
    <s v="Taylor Swift"/>
    <s v="06HL4z0CvFAxyc27GXpf02"/>
    <n v="0.59399999999999997"/>
    <n v="0.71299999999999997"/>
    <n v="-5.3140000000000001"/>
    <n v="5.0299999999999997E-2"/>
    <n v="3.28E-4"/>
    <n v="0"/>
    <n v="0.114"/>
    <n v="0.32800000000000001"/>
  </r>
  <r>
    <s v="Red (Taylor's Version)"/>
    <s v="4OAuvHryIVv4kMDNSLuPt6"/>
    <n v="223093"/>
    <b v="0"/>
    <n v="2"/>
    <s v="6kZ42qRrzov54LcAk4onW9"/>
    <x v="8"/>
    <d v="2021-11-12T00:00:00"/>
    <n v="30"/>
    <s v="album"/>
    <s v="Taylor Swift"/>
    <s v="06HL4z0CvFAxyc27GXpf02"/>
    <n v="0.51600000000000001"/>
    <n v="0.77700000000000002"/>
    <n v="-4.9080000000000004"/>
    <n v="3.7499999999999999E-2"/>
    <n v="1.08E-3"/>
    <n v="1.6199999999999999E-6"/>
    <n v="7.6100000000000001E-2"/>
    <n v="0.40799999999999997"/>
  </r>
  <r>
    <s v="Treacherous (Taylor's Version)"/>
    <s v="3S7HNKPakdwNEBFIVTL6dZ"/>
    <n v="242720"/>
    <b v="0"/>
    <n v="3"/>
    <s v="6kZ42qRrzov54LcAk4onW9"/>
    <x v="8"/>
    <d v="2021-11-12T00:00:00"/>
    <n v="30"/>
    <s v="album"/>
    <s v="Taylor Swift"/>
    <s v="06HL4z0CvFAxyc27GXpf02"/>
    <n v="0.64500000000000002"/>
    <n v="0.59299999999999997"/>
    <n v="-6.5060000000000002"/>
    <n v="2.8799999999999999E-2"/>
    <n v="3.44E-2"/>
    <n v="1.27E-4"/>
    <n v="0.13"/>
    <n v="0.29899999999999999"/>
  </r>
  <r>
    <s v="I Knew You Were Trouble (Taylor's Version)"/>
    <s v="6AtZLIzUINvExIUy4QhdjP"/>
    <n v="219760"/>
    <b v="0"/>
    <n v="4"/>
    <s v="6kZ42qRrzov54LcAk4onW9"/>
    <x v="8"/>
    <d v="2021-11-12T00:00:00"/>
    <n v="30"/>
    <s v="album"/>
    <s v="Taylor Swift"/>
    <s v="06HL4z0CvFAxyc27GXpf02"/>
    <n v="0.58399999999999996"/>
    <n v="0.55700000000000005"/>
    <n v="-6.3710000000000004"/>
    <n v="3.4200000000000001E-2"/>
    <n v="1.29E-2"/>
    <n v="0"/>
    <n v="5.7599999999999998E-2"/>
    <n v="0.76700000000000002"/>
  </r>
  <r>
    <s v="All Too Well (Taylor's Version)"/>
    <s v="3nsfB1vus2qaloUdcBZvDu"/>
    <n v="329160"/>
    <b v="0"/>
    <n v="5"/>
    <s v="6kZ42qRrzov54LcAk4onW9"/>
    <x v="8"/>
    <d v="2021-11-12T00:00:00"/>
    <n v="30"/>
    <s v="album"/>
    <s v="Taylor Swift"/>
    <s v="06HL4z0CvFAxyc27GXpf02"/>
    <n v="0.44"/>
    <n v="0.52800000000000002"/>
    <n v="-7.8090000000000002"/>
    <n v="3.1699999999999999E-2"/>
    <n v="1.7100000000000001E-2"/>
    <n v="2.0300000000000001E-3"/>
    <n v="0.23400000000000001"/>
    <n v="0.13200000000000001"/>
  </r>
  <r>
    <s v="22 (Taylor's Version)"/>
    <s v="3yII7UwgLF6K5zW3xad3MP"/>
    <n v="230960"/>
    <b v="0"/>
    <n v="6"/>
    <s v="6kZ42qRrzov54LcAk4onW9"/>
    <x v="8"/>
    <d v="2021-11-12T00:00:00"/>
    <n v="30"/>
    <s v="album"/>
    <s v="Taylor Swift"/>
    <s v="06HL4z0CvFAxyc27GXpf02"/>
    <n v="0.64200000000000002"/>
    <n v="0.69499999999999995"/>
    <n v="-5.62"/>
    <n v="2.81E-2"/>
    <n v="4.4299999999999998E-4"/>
    <n v="1.0200000000000001E-5"/>
    <n v="7.5300000000000006E-2"/>
    <n v="0.64200000000000002"/>
  </r>
  <r>
    <s v="I Almost Do (Taylor's Version)"/>
    <s v="2r9CbjYgFhtAmcFv1cSquB"/>
    <n v="244586"/>
    <b v="0"/>
    <n v="7"/>
    <s v="6kZ42qRrzov54LcAk4onW9"/>
    <x v="8"/>
    <d v="2021-11-12T00:00:00"/>
    <n v="30"/>
    <s v="album"/>
    <s v="Taylor Swift"/>
    <s v="06HL4z0CvFAxyc27GXpf02"/>
    <n v="0.51100000000000001"/>
    <n v="0.55900000000000005"/>
    <n v="-6.5869999999999997"/>
    <n v="2.64E-2"/>
    <n v="1.67E-2"/>
    <n v="0"/>
    <n v="0.113"/>
    <n v="0.248"/>
  </r>
  <r>
    <s v="We Are Never Ever Getting Back Together (Taylor's Version)"/>
    <s v="5YqltLsjdqFtvqE7Nrysvs"/>
    <n v="193146"/>
    <b v="0"/>
    <n v="8"/>
    <s v="6kZ42qRrzov54LcAk4onW9"/>
    <x v="8"/>
    <d v="2021-11-12T00:00:00"/>
    <n v="30"/>
    <s v="album"/>
    <s v="Taylor Swift"/>
    <s v="06HL4z0CvFAxyc27GXpf02"/>
    <n v="0.56699999999999995"/>
    <n v="0.68600000000000005"/>
    <n v="-6.1390000000000002"/>
    <n v="0.17499999999999999"/>
    <n v="3.1699999999999999E-2"/>
    <n v="1.86E-6"/>
    <n v="7.3200000000000001E-2"/>
    <n v="0.71599999999999997"/>
  </r>
  <r>
    <s v="Stay Stay Stay (Taylor's Version)"/>
    <s v="7eQj6r5PIdYKEIZjucBMcq"/>
    <n v="205786"/>
    <b v="0"/>
    <n v="9"/>
    <s v="6kZ42qRrzov54LcAk4onW9"/>
    <x v="8"/>
    <d v="2021-11-12T00:00:00"/>
    <n v="30"/>
    <s v="album"/>
    <s v="Taylor Swift"/>
    <s v="06HL4z0CvFAxyc27GXpf02"/>
    <n v="0.69299999999999995"/>
    <n v="0.68100000000000005"/>
    <n v="-7.0389999999999997"/>
    <n v="2.5000000000000001E-2"/>
    <n v="8.48E-2"/>
    <n v="0"/>
    <n v="7.6799999999999993E-2"/>
    <n v="0.66300000000000003"/>
  </r>
  <r>
    <s v="The Last Time (feat. Gary Lightbody of Snow Patrol) (Taylor’s Version)"/>
    <s v="0y6kdSRCVQhSsHSpWvTUm7"/>
    <n v="299080"/>
    <b v="0"/>
    <n v="10"/>
    <s v="6kZ42qRrzov54LcAk4onW9"/>
    <x v="8"/>
    <d v="2021-11-12T00:00:00"/>
    <n v="30"/>
    <s v="album"/>
    <s v="Taylor Swift"/>
    <s v="06HL4z0CvFAxyc27GXpf02"/>
    <n v="0.502"/>
    <n v="0.53400000000000003"/>
    <n v="-5.9539999999999997"/>
    <n v="2.7799999999999998E-2"/>
    <n v="3.9899999999999998E-2"/>
    <n v="0"/>
    <n v="9.7699999999999995E-2"/>
    <n v="0.155"/>
  </r>
  <r>
    <s v="Holy Ground (Taylor's Version)"/>
    <s v="7J4b3LVCIGO4CMBDFLPoP6"/>
    <n v="202960"/>
    <b v="0"/>
    <n v="11"/>
    <s v="6kZ42qRrzov54LcAk4onW9"/>
    <x v="8"/>
    <d v="2021-11-12T00:00:00"/>
    <n v="30"/>
    <s v="album"/>
    <s v="Taylor Swift"/>
    <s v="06HL4z0CvFAxyc27GXpf02"/>
    <n v="0.622"/>
    <n v="0.80900000000000005"/>
    <n v="-5.6230000000000002"/>
    <n v="6.3799999999999996E-2"/>
    <n v="2.8799999999999999E-2"/>
    <n v="2.1800000000000001E-3"/>
    <n v="0.109"/>
    <n v="0.51100000000000001"/>
  </r>
  <r>
    <s v="Sad Beautiful Tragic (Taylor's Version)"/>
    <s v="73qMN9bXy7MSPwwGfH3wQr"/>
    <n v="284773"/>
    <b v="0"/>
    <n v="12"/>
    <s v="6kZ42qRrzov54LcAk4onW9"/>
    <x v="8"/>
    <d v="2021-11-12T00:00:00"/>
    <n v="30"/>
    <s v="album"/>
    <s v="Taylor Swift"/>
    <s v="06HL4z0CvFAxyc27GXpf02"/>
    <n v="0.60099999999999998"/>
    <n v="0.40600000000000003"/>
    <n v="-11.827"/>
    <n v="2.75E-2"/>
    <n v="0.622"/>
    <n v="9.1899999999999998E-5"/>
    <n v="0.13300000000000001"/>
    <n v="0.23200000000000001"/>
  </r>
  <r>
    <s v="The Lucky One (Taylor's Version)"/>
    <s v="4e5ayHsOLJNLTGfjau2mEw"/>
    <n v="240466"/>
    <b v="0"/>
    <n v="13"/>
    <s v="6kZ42qRrzov54LcAk4onW9"/>
    <x v="8"/>
    <d v="2021-11-12T00:00:00"/>
    <n v="30"/>
    <s v="album"/>
    <s v="Taylor Swift"/>
    <s v="06HL4z0CvFAxyc27GXpf02"/>
    <n v="0.68600000000000005"/>
    <n v="0.57099999999999995"/>
    <n v="-7.1379999999999999"/>
    <n v="0.05"/>
    <n v="6.6000000000000003E-2"/>
    <n v="0"/>
    <n v="6.08E-2"/>
    <n v="0.53800000000000003"/>
  </r>
  <r>
    <s v="Everything Has Changed (feat. Ed Sheeran) (Taylor’s Version)"/>
    <s v="7qEUFOVcxRI19tbT68JcYK"/>
    <n v="245426"/>
    <b v="0"/>
    <n v="14"/>
    <s v="6kZ42qRrzov54LcAk4onW9"/>
    <x v="8"/>
    <d v="2021-11-12T00:00:00"/>
    <n v="30"/>
    <s v="album"/>
    <s v="Taylor Swift"/>
    <s v="06HL4z0CvFAxyc27GXpf02"/>
    <n v="0.498"/>
    <n v="0.61"/>
    <n v="-5.0979999999999999"/>
    <n v="3.6299999999999999E-2"/>
    <n v="0.27100000000000002"/>
    <n v="0"/>
    <n v="0.223"/>
    <n v="0.47399999999999998"/>
  </r>
  <r>
    <s v="Starlight (Taylor's Version)"/>
    <s v="7A2cNLRT0YJc1yjxHlKihs"/>
    <n v="220413"/>
    <b v="0"/>
    <n v="15"/>
    <s v="6kZ42qRrzov54LcAk4onW9"/>
    <x v="8"/>
    <d v="2021-11-12T00:00:00"/>
    <n v="30"/>
    <s v="album"/>
    <s v="Taylor Swift"/>
    <s v="06HL4z0CvFAxyc27GXpf02"/>
    <n v="0.628"/>
    <n v="0.68500000000000005"/>
    <n v="-5.8639999999999999"/>
    <n v="3.5799999999999998E-2"/>
    <n v="3.2399999999999998E-3"/>
    <n v="0"/>
    <n v="0.18"/>
    <n v="0.60499999999999998"/>
  </r>
  <r>
    <s v="Begin Again (Taylor's Version)"/>
    <s v="05GsNucq8Bngd9fnd4fRa0"/>
    <n v="238866"/>
    <b v="0"/>
    <n v="16"/>
    <s v="6kZ42qRrzov54LcAk4onW9"/>
    <x v="8"/>
    <d v="2021-11-12T00:00:00"/>
    <n v="30"/>
    <s v="album"/>
    <s v="Taylor Swift"/>
    <s v="06HL4z0CvFAxyc27GXpf02"/>
    <n v="0.51900000000000002"/>
    <n v="0.52700000000000002"/>
    <n v="-7.673"/>
    <n v="2.7400000000000001E-2"/>
    <n v="7.4999999999999997E-2"/>
    <n v="0"/>
    <n v="0.13200000000000001"/>
    <n v="0.26700000000000002"/>
  </r>
  <r>
    <s v="The Moment I Knew (Taylor's Version)"/>
    <s v="0NRHj8hDwwmSPaA41o379r"/>
    <n v="285280"/>
    <b v="0"/>
    <n v="17"/>
    <s v="6kZ42qRrzov54LcAk4onW9"/>
    <x v="8"/>
    <d v="2021-11-12T00:00:00"/>
    <n v="30"/>
    <s v="album"/>
    <s v="Taylor Swift"/>
    <s v="06HL4z0CvFAxyc27GXpf02"/>
    <n v="0.63600000000000001"/>
    <n v="0.40200000000000002"/>
    <n v="-7.8550000000000004"/>
    <n v="3.1E-2"/>
    <n v="4.9399999999999999E-2"/>
    <n v="0"/>
    <n v="0.107"/>
    <n v="0.20799999999999999"/>
  </r>
  <r>
    <s v="Come Back...Be Here (Taylor's Version)"/>
    <s v="4pNApnaUWAL2J4KO2eqokq"/>
    <n v="223333"/>
    <b v="0"/>
    <n v="18"/>
    <s v="6kZ42qRrzov54LcAk4onW9"/>
    <x v="8"/>
    <d v="2021-11-12T00:00:00"/>
    <n v="30"/>
    <s v="album"/>
    <s v="Taylor Swift"/>
    <s v="06HL4z0CvFAxyc27GXpf02"/>
    <n v="0.46"/>
    <n v="0.63200000000000001"/>
    <n v="-6.0309999999999997"/>
    <n v="3.0200000000000001E-2"/>
    <n v="1.5800000000000002E-2"/>
    <n v="0"/>
    <n v="8.2199999999999995E-2"/>
    <n v="0.39900000000000002"/>
  </r>
  <r>
    <s v="Girl At Home (Taylor's Version)"/>
    <s v="0DMVrlMUn01M0IcpDbwgu7"/>
    <n v="220520"/>
    <b v="0"/>
    <n v="19"/>
    <s v="6kZ42qRrzov54LcAk4onW9"/>
    <x v="8"/>
    <d v="2021-11-12T00:00:00"/>
    <n v="30"/>
    <s v="album"/>
    <s v="Taylor Swift"/>
    <s v="06HL4z0CvFAxyc27GXpf02"/>
    <n v="0.69099999999999995"/>
    <n v="0.73599999999999999"/>
    <n v="-6.9740000000000002"/>
    <n v="3.2599999999999997E-2"/>
    <n v="9.5499999999999995E-3"/>
    <n v="1.88E-5"/>
    <n v="0.10100000000000001"/>
    <n v="0.61199999999999999"/>
  </r>
  <r>
    <s v="State Of Grace (Acoustic Version) (Taylor's Version)"/>
    <s v="5jAIouBES8LWMiriuNq170"/>
    <n v="321640"/>
    <b v="0"/>
    <n v="20"/>
    <s v="6kZ42qRrzov54LcAk4onW9"/>
    <x v="8"/>
    <d v="2021-11-12T00:00:00"/>
    <n v="30"/>
    <s v="album"/>
    <s v="Taylor Swift"/>
    <s v="06HL4z0CvFAxyc27GXpf02"/>
    <n v="0.44500000000000001"/>
    <n v="0.13100000000000001"/>
    <n v="-13.778"/>
    <n v="5.6399999999999999E-2"/>
    <n v="0.66300000000000003"/>
    <n v="1.57E-6"/>
    <n v="0.108"/>
    <n v="0.10100000000000001"/>
  </r>
  <r>
    <s v="Ronan (Taylor's Version)"/>
    <s v="7nWui6jiMM2m9qFmET1Mtj"/>
    <n v="264253"/>
    <b v="0"/>
    <n v="21"/>
    <s v="6kZ42qRrzov54LcAk4onW9"/>
    <x v="8"/>
    <d v="2021-11-12T00:00:00"/>
    <n v="30"/>
    <s v="album"/>
    <s v="Taylor Swift"/>
    <s v="06HL4z0CvFAxyc27GXpf02"/>
    <n v="0.623"/>
    <n v="0.27900000000000003"/>
    <n v="-10.802"/>
    <n v="3.1E-2"/>
    <n v="0.66100000000000003"/>
    <n v="0"/>
    <n v="0.193"/>
    <n v="0.38"/>
  </r>
  <r>
    <s v="Better Man (Taylor's Version) (From The Vault)"/>
    <s v="4OmFmE0fzcMG6g0Y8p4eSD"/>
    <n v="297013"/>
    <b v="0"/>
    <n v="22"/>
    <s v="6kZ42qRrzov54LcAk4onW9"/>
    <x v="8"/>
    <d v="2021-11-12T00:00:00"/>
    <n v="30"/>
    <s v="album"/>
    <s v="Taylor Swift"/>
    <s v="06HL4z0CvFAxyc27GXpf02"/>
    <n v="0.47299999999999998"/>
    <n v="0.57899999999999996"/>
    <n v="-5.8239999999999998"/>
    <n v="3.8399999999999997E-2"/>
    <n v="0.214"/>
    <n v="0"/>
    <n v="8.77E-2"/>
    <n v="0.255"/>
  </r>
  <r>
    <s v="Nothing New (feat. Phoebe Bridgers) (Taylor’s Version) (From The Vault)"/>
    <s v="01K4zKU104LyJ8gMb7227B"/>
    <n v="258812"/>
    <b v="0"/>
    <n v="23"/>
    <s v="6kZ42qRrzov54LcAk4onW9"/>
    <x v="8"/>
    <d v="2021-11-12T00:00:00"/>
    <n v="30"/>
    <s v="album"/>
    <s v="Taylor Swift"/>
    <s v="06HL4z0CvFAxyc27GXpf02"/>
    <n v="0.60599999999999998"/>
    <n v="0.377"/>
    <n v="-9.4550000000000001"/>
    <n v="2.75E-2"/>
    <n v="0.81699999999999995"/>
    <n v="0"/>
    <n v="0.154"/>
    <n v="0.44600000000000001"/>
  </r>
  <r>
    <s v="Babe (Taylor's Version) (From The Vault)"/>
    <s v="0v4z1tuZvn6LGknom9Qx7d"/>
    <n v="224240"/>
    <b v="0"/>
    <n v="24"/>
    <s v="6kZ42qRrzov54LcAk4onW9"/>
    <x v="8"/>
    <d v="2021-11-12T00:00:00"/>
    <n v="30"/>
    <s v="album"/>
    <s v="Taylor Swift"/>
    <s v="06HL4z0CvFAxyc27GXpf02"/>
    <n v="0.58399999999999996"/>
    <n v="0.74299999999999999"/>
    <n v="-7.0750000000000002"/>
    <n v="9.3100000000000002E-2"/>
    <n v="5.3800000000000001E-2"/>
    <n v="2.83E-6"/>
    <n v="0.121"/>
    <n v="0.746"/>
  </r>
  <r>
    <s v="Message In A Bottle (Taylor's Version) (From The Vault)"/>
    <s v="3z6XUommYDWPHeFhmhhT6j"/>
    <n v="225960"/>
    <b v="0"/>
    <n v="25"/>
    <s v="6kZ42qRrzov54LcAk4onW9"/>
    <x v="8"/>
    <d v="2021-11-12T00:00:00"/>
    <n v="30"/>
    <s v="album"/>
    <s v="Taylor Swift"/>
    <s v="06HL4z0CvFAxyc27GXpf02"/>
    <n v="0.622"/>
    <n v="0.79100000000000004"/>
    <n v="-6.1059999999999999"/>
    <n v="5.3499999999999999E-2"/>
    <n v="1.8799999999999999E-3"/>
    <n v="3.72E-6"/>
    <n v="8.3000000000000004E-2"/>
    <n v="0.49399999999999999"/>
  </r>
  <r>
    <s v="I Bet You Think About Me (feat. Chris Stapleton) (Taylor’s Version) (From The Vault)"/>
    <s v="4CkgMiMqZ5JzW9iYXSTMTL"/>
    <n v="285106"/>
    <b v="1"/>
    <n v="26"/>
    <s v="6kZ42qRrzov54LcAk4onW9"/>
    <x v="8"/>
    <d v="2021-11-12T00:00:00"/>
    <n v="30"/>
    <s v="album"/>
    <s v="Taylor Swift"/>
    <s v="06HL4z0CvFAxyc27GXpf02"/>
    <n v="0.39100000000000001"/>
    <n v="0.71499999999999997"/>
    <n v="-4.516"/>
    <n v="4.9500000000000002E-2"/>
    <n v="0.16700000000000001"/>
    <n v="0"/>
    <n v="0.183"/>
    <n v="0.47299999999999998"/>
  </r>
  <r>
    <s v="Forever Winter (Taylor's Version) (From The Vault)"/>
    <s v="3oGVx9RBmiYGv5ZCecWLkx"/>
    <n v="263533"/>
    <b v="0"/>
    <n v="27"/>
    <s v="6kZ42qRrzov54LcAk4onW9"/>
    <x v="8"/>
    <d v="2021-11-12T00:00:00"/>
    <n v="30"/>
    <s v="album"/>
    <s v="Taylor Swift"/>
    <s v="06HL4z0CvFAxyc27GXpf02"/>
    <n v="0.61099999999999999"/>
    <n v="0.55200000000000005"/>
    <n v="-5.8280000000000003"/>
    <n v="3.1E-2"/>
    <n v="0.25600000000000001"/>
    <n v="0"/>
    <n v="0.13400000000000001"/>
    <n v="0.41"/>
  </r>
  <r>
    <s v="Run (feat. Ed Sheeran) (Taylor’s Version) (From The Vault)"/>
    <s v="4IQkfUsrwXol38VV3U7t7T"/>
    <n v="240226"/>
    <b v="0"/>
    <n v="28"/>
    <s v="6kZ42qRrzov54LcAk4onW9"/>
    <x v="8"/>
    <d v="2021-11-12T00:00:00"/>
    <n v="30"/>
    <s v="album"/>
    <s v="Taylor Swift"/>
    <s v="06HL4z0CvFAxyc27GXpf02"/>
    <n v="0.61"/>
    <n v="0.48799999999999999"/>
    <n v="-6.9180000000000001"/>
    <n v="2.93E-2"/>
    <n v="0.81699999999999995"/>
    <n v="0"/>
    <n v="0.312"/>
    <n v="0.443"/>
  </r>
  <r>
    <s v="The Very First Night (Taylor's Version) (From The Vault)"/>
    <s v="6pYNq0ZwpPVazKzsqpf0G8"/>
    <n v="200280"/>
    <b v="0"/>
    <n v="29"/>
    <s v="6kZ42qRrzov54LcAk4onW9"/>
    <x v="8"/>
    <d v="2021-11-12T00:00:00"/>
    <n v="30"/>
    <s v="album"/>
    <s v="Taylor Swift"/>
    <s v="06HL4z0CvFAxyc27GXpf02"/>
    <n v="0.67800000000000005"/>
    <n v="0.73299999999999998"/>
    <n v="-5.0250000000000004"/>
    <n v="2.81E-2"/>
    <n v="1.15E-3"/>
    <n v="0"/>
    <n v="0.104"/>
    <n v="0.58099999999999996"/>
  </r>
  <r>
    <s v="All Too Well (10 Minute Version) (Taylor's Version) (From The Vault)"/>
    <s v="5enxwA8aAbwZbf5qCHORXi"/>
    <n v="613026"/>
    <b v="1"/>
    <n v="30"/>
    <s v="6kZ42qRrzov54LcAk4onW9"/>
    <x v="8"/>
    <d v="2021-11-12T00:00:00"/>
    <n v="30"/>
    <s v="album"/>
    <s v="Taylor Swift"/>
    <s v="06HL4z0CvFAxyc27GXpf02"/>
    <n v="0.63100000000000001"/>
    <n v="0.51800000000000002"/>
    <n v="-8.7710000000000008"/>
    <n v="3.0300000000000001E-2"/>
    <n v="0.27400000000000002"/>
    <n v="0"/>
    <n v="8.7999999999999995E-2"/>
    <n v="0.20499999999999999"/>
  </r>
  <r>
    <s v="Fearless (Taylor’s Version)"/>
    <s v="77sMIMlNaSURUAXq5coCxE"/>
    <n v="241591"/>
    <b v="0"/>
    <n v="1"/>
    <s v="4hDok0OAJd57SGIT8xuWJH"/>
    <x v="9"/>
    <d v="2021-04-09T00:00:00"/>
    <n v="26"/>
    <s v="album"/>
    <s v="Taylor Swift"/>
    <s v="06HL4z0CvFAxyc27GXpf02"/>
    <n v="0.56899999999999995"/>
    <n v="0.74099999999999999"/>
    <n v="-4.9630000000000001"/>
    <n v="2.8199999999999999E-2"/>
    <n v="1.2200000000000001E-2"/>
    <n v="0"/>
    <n v="0.33300000000000002"/>
    <n v="0.43"/>
  </r>
  <r>
    <s v="Fifteen (Taylor’s Version)"/>
    <s v="2nqio0SfWg6gh2eCtfuMa5"/>
    <n v="294419"/>
    <b v="0"/>
    <n v="2"/>
    <s v="4hDok0OAJd57SGIT8xuWJH"/>
    <x v="9"/>
    <d v="2021-04-09T00:00:00"/>
    <n v="26"/>
    <s v="album"/>
    <s v="Taylor Swift"/>
    <s v="06HL4z0CvFAxyc27GXpf02"/>
    <n v="0.55900000000000005"/>
    <n v="0.64600000000000002"/>
    <n v="-4.6100000000000003"/>
    <n v="2.7199999999999998E-2"/>
    <n v="0.11600000000000001"/>
    <n v="0"/>
    <n v="0.32"/>
    <n v="0.28899999999999998"/>
  </r>
  <r>
    <s v="Love Story (Taylor’s Version)"/>
    <s v="6YvqWjhGD8mB5QXcbcUKtx"/>
    <n v="235766"/>
    <b v="0"/>
    <n v="3"/>
    <s v="4hDok0OAJd57SGIT8xuWJH"/>
    <x v="9"/>
    <d v="2021-04-09T00:00:00"/>
    <n v="26"/>
    <s v="album"/>
    <s v="Taylor Swift"/>
    <s v="06HL4z0CvFAxyc27GXpf02"/>
    <n v="0.627"/>
    <n v="0.79200000000000004"/>
    <n v="-4.3109999999999999"/>
    <n v="3.1E-2"/>
    <n v="0.13"/>
    <n v="3.9700000000000001E-6"/>
    <n v="8.4500000000000006E-2"/>
    <n v="0.41499999999999998"/>
  </r>
  <r>
    <s v="Hey Stephen (Taylor’s Version)"/>
    <s v="550erGcdD9n6PnwxrvYqZT"/>
    <n v="254254"/>
    <b v="0"/>
    <n v="4"/>
    <s v="4hDok0OAJd57SGIT8xuWJH"/>
    <x v="9"/>
    <d v="2021-04-09T00:00:00"/>
    <n v="26"/>
    <s v="album"/>
    <s v="Taylor Swift"/>
    <s v="06HL4z0CvFAxyc27GXpf02"/>
    <n v="0.78800000000000003"/>
    <n v="0.57099999999999995"/>
    <n v="-6.1349999999999998"/>
    <n v="2.9600000000000001E-2"/>
    <n v="0.106"/>
    <n v="0"/>
    <n v="9.3399999999999997E-2"/>
    <n v="0.79700000000000004"/>
  </r>
  <r>
    <s v="White Horse (Taylor’s Version)"/>
    <s v="5YL553x8sHderRBDlm3NM3"/>
    <n v="234515"/>
    <b v="0"/>
    <n v="5"/>
    <s v="4hDok0OAJd57SGIT8xuWJH"/>
    <x v="9"/>
    <d v="2021-04-09T00:00:00"/>
    <n v="26"/>
    <s v="album"/>
    <s v="Taylor Swift"/>
    <s v="06HL4z0CvFAxyc27GXpf02"/>
    <n v="0.42299999999999999"/>
    <n v="0.51700000000000002"/>
    <n v="-7.3769999999999998"/>
    <n v="4.8599999999999997E-2"/>
    <n v="0.36899999999999999"/>
    <n v="0"/>
    <n v="0.17699999999999999"/>
    <n v="0.36599999999999999"/>
  </r>
  <r>
    <s v="You Belong With Me (Taylor’s Version)"/>
    <s v="1qrpoAMXodY6895hGKoUpA"/>
    <n v="231124"/>
    <b v="0"/>
    <n v="6"/>
    <s v="4hDok0OAJd57SGIT8xuWJH"/>
    <x v="9"/>
    <d v="2021-04-09T00:00:00"/>
    <n v="26"/>
    <s v="album"/>
    <s v="Taylor Swift"/>
    <s v="06HL4z0CvFAxyc27GXpf02"/>
    <n v="0.63200000000000001"/>
    <n v="0.77300000000000002"/>
    <n v="-4.8559999999999999"/>
    <n v="3.4599999999999999E-2"/>
    <n v="6.2300000000000001E-2"/>
    <n v="0"/>
    <n v="8.8499999999999995E-2"/>
    <n v="0.47399999999999998"/>
  </r>
  <r>
    <s v="Breathe (feat. Colbie Caillat) (Taylor’s Version)"/>
    <s v="7HC7R2D8WjXVcUHJyEGjRs"/>
    <n v="263377"/>
    <b v="0"/>
    <n v="7"/>
    <s v="4hDok0OAJd57SGIT8xuWJH"/>
    <x v="9"/>
    <d v="2021-04-09T00:00:00"/>
    <n v="26"/>
    <s v="album"/>
    <s v="Taylor Swift"/>
    <s v="06HL4z0CvFAxyc27GXpf02"/>
    <n v="0.50600000000000001"/>
    <n v="0.626"/>
    <n v="-6.0659999999999998"/>
    <n v="2.87E-2"/>
    <n v="0.156"/>
    <n v="0"/>
    <n v="0.22800000000000001"/>
    <n v="0.32100000000000001"/>
  </r>
  <r>
    <s v="Tell Me Why (Taylor’s Version)"/>
    <s v="0k0vFacOHNuArLWMiH60p7"/>
    <n v="200575"/>
    <b v="0"/>
    <n v="8"/>
    <s v="4hDok0OAJd57SGIT8xuWJH"/>
    <x v="9"/>
    <d v="2021-04-09T00:00:00"/>
    <n v="26"/>
    <s v="album"/>
    <s v="Taylor Swift"/>
    <s v="06HL4z0CvFAxyc27GXpf02"/>
    <n v="0.57799999999999996"/>
    <n v="0.90900000000000003"/>
    <n v="-3.669"/>
    <n v="6.2799999999999995E-2"/>
    <n v="2.2200000000000001E-2"/>
    <n v="0"/>
    <n v="0.33300000000000002"/>
    <n v="0.54100000000000004"/>
  </r>
  <r>
    <s v="You’re Not Sorry (Taylor’s Version)"/>
    <s v="6iiAfo4wTA2CVC3Uwx9uh8"/>
    <n v="261842"/>
    <b v="0"/>
    <n v="9"/>
    <s v="4hDok0OAJd57SGIT8xuWJH"/>
    <x v="9"/>
    <d v="2021-04-09T00:00:00"/>
    <n v="26"/>
    <s v="album"/>
    <s v="Taylor Swift"/>
    <s v="06HL4z0CvFAxyc27GXpf02"/>
    <n v="0.50600000000000001"/>
    <n v="0.44400000000000001"/>
    <n v="-4.99"/>
    <n v="2.8500000000000001E-2"/>
    <n v="5.3800000000000001E-2"/>
    <n v="0"/>
    <n v="0.123"/>
    <n v="0.24099999999999999"/>
  </r>
  <r>
    <s v="The Way I Loved You (Taylor’s Version)"/>
    <s v="22bPsP2jCgbLUvh82U0Z3M"/>
    <n v="243136"/>
    <b v="0"/>
    <n v="10"/>
    <s v="4hDok0OAJd57SGIT8xuWJH"/>
    <x v="9"/>
    <d v="2021-04-09T00:00:00"/>
    <n v="26"/>
    <s v="album"/>
    <s v="Taylor Swift"/>
    <s v="06HL4z0CvFAxyc27GXpf02"/>
    <n v="0.40200000000000002"/>
    <n v="0.73199999999999998"/>
    <n v="-4.665"/>
    <n v="4.8399999999999999E-2"/>
    <n v="3.3E-3"/>
    <n v="0"/>
    <n v="0.108"/>
    <n v="0.47199999999999998"/>
  </r>
  <r>
    <s v="Forever &amp; Always (Taylor’s Version)"/>
    <s v="1msEuwSBneBKpVCZQcFTsU"/>
    <n v="225328"/>
    <b v="0"/>
    <n v="11"/>
    <s v="4hDok0OAJd57SGIT8xuWJH"/>
    <x v="9"/>
    <d v="2021-04-09T00:00:00"/>
    <n v="26"/>
    <s v="album"/>
    <s v="Taylor Swift"/>
    <s v="06HL4z0CvFAxyc27GXpf02"/>
    <n v="0.59799999999999998"/>
    <n v="0.82099999999999995"/>
    <n v="-4.4329999999999998"/>
    <n v="4.4699999999999997E-2"/>
    <n v="2.3099999999999999E-2"/>
    <n v="0"/>
    <n v="0.14299999999999999"/>
    <n v="0.67300000000000004"/>
  </r>
  <r>
    <s v="The Best Day (Taylor’s Version)"/>
    <s v="6ON9UuIq49xXY9GPmHIYRp"/>
    <n v="245290"/>
    <b v="0"/>
    <n v="12"/>
    <s v="4hDok0OAJd57SGIT8xuWJH"/>
    <x v="9"/>
    <d v="2021-04-09T00:00:00"/>
    <n v="26"/>
    <s v="album"/>
    <s v="Taylor Swift"/>
    <s v="06HL4z0CvFAxyc27GXpf02"/>
    <n v="0.64200000000000002"/>
    <n v="0.57599999999999996"/>
    <n v="-8.5239999999999991"/>
    <n v="2.8199999999999999E-2"/>
    <n v="0.48799999999999999"/>
    <n v="0"/>
    <n v="0.159"/>
    <n v="0.46899999999999997"/>
  </r>
  <r>
    <s v="Change (Taylor’s Version)"/>
    <s v="3ExweHKZF9B752DPQByRVT"/>
    <n v="279359"/>
    <b v="0"/>
    <n v="13"/>
    <s v="4hDok0OAJd57SGIT8xuWJH"/>
    <x v="9"/>
    <d v="2021-04-09T00:00:00"/>
    <n v="26"/>
    <s v="album"/>
    <s v="Taylor Swift"/>
    <s v="06HL4z0CvFAxyc27GXpf02"/>
    <n v="0.499"/>
    <n v="0.81499999999999995"/>
    <n v="-4.0629999999999997"/>
    <n v="3.4099999999999998E-2"/>
    <n v="1.9100000000000001E-4"/>
    <n v="0"/>
    <n v="0.18099999999999999"/>
    <n v="0.34399999999999997"/>
  </r>
  <r>
    <s v="Jump Then Fall (Taylor’s Version)"/>
    <s v="2m3ObD945KvpE5y9A1eUWm"/>
    <n v="237580"/>
    <b v="0"/>
    <n v="14"/>
    <s v="4hDok0OAJd57SGIT8xuWJH"/>
    <x v="9"/>
    <d v="2021-04-09T00:00:00"/>
    <n v="26"/>
    <s v="album"/>
    <s v="Taylor Swift"/>
    <s v="06HL4z0CvFAxyc27GXpf02"/>
    <n v="0.57199999999999995"/>
    <n v="0.69"/>
    <n v="-6.2009999999999996"/>
    <n v="3.5799999999999998E-2"/>
    <n v="4.7399999999999998E-2"/>
    <n v="0"/>
    <n v="8.9700000000000002E-2"/>
    <n v="0.624"/>
  </r>
  <r>
    <s v="Untouchable (Taylor’s Version)"/>
    <s v="0tQ9vBYpldCuikPsbgOVKA"/>
    <n v="312107"/>
    <b v="0"/>
    <n v="15"/>
    <s v="4hDok0OAJd57SGIT8xuWJH"/>
    <x v="9"/>
    <d v="2021-04-09T00:00:00"/>
    <n v="26"/>
    <s v="album"/>
    <s v="Taylor Swift"/>
    <s v="06HL4z0CvFAxyc27GXpf02"/>
    <n v="0.39300000000000002"/>
    <n v="0.53100000000000003"/>
    <n v="-6.1120000000000001"/>
    <n v="3.2899999999999999E-2"/>
    <n v="1.8100000000000002E-2"/>
    <n v="0"/>
    <n v="0.16900000000000001"/>
    <n v="0.224"/>
  </r>
  <r>
    <s v="Forever &amp; Always (Piano Version) (Taylor’s Version)"/>
    <s v="01QdEx6kFr78ZejhQtWR5m"/>
    <n v="267833"/>
    <b v="0"/>
    <n v="16"/>
    <s v="4hDok0OAJd57SGIT8xuWJH"/>
    <x v="9"/>
    <d v="2021-04-09T00:00:00"/>
    <n v="26"/>
    <s v="album"/>
    <s v="Taylor Swift"/>
    <s v="06HL4z0CvFAxyc27GXpf02"/>
    <n v="0.54600000000000004"/>
    <n v="0.27300000000000002"/>
    <n v="-9.2080000000000002"/>
    <n v="3.0800000000000001E-2"/>
    <n v="0.81899999999999995"/>
    <n v="0"/>
    <n v="0.13700000000000001"/>
    <n v="0.27100000000000002"/>
  </r>
  <r>
    <s v="Come In With The Rain (Taylor’s Version)"/>
    <s v="1n2wszmJyVkw6FHqyLnQsY"/>
    <n v="237338"/>
    <b v="0"/>
    <n v="17"/>
    <s v="4hDok0OAJd57SGIT8xuWJH"/>
    <x v="9"/>
    <d v="2021-04-09T00:00:00"/>
    <n v="26"/>
    <s v="album"/>
    <s v="Taylor Swift"/>
    <s v="06HL4z0CvFAxyc27GXpf02"/>
    <n v="0.47599999999999998"/>
    <n v="0.56399999999999995"/>
    <n v="-5.6769999999999996"/>
    <n v="2.69E-2"/>
    <n v="4.0599999999999997E-2"/>
    <n v="0"/>
    <n v="0.10199999999999999"/>
    <n v="0.16700000000000001"/>
  </r>
  <r>
    <s v="Superstar (Taylor’s Version)"/>
    <s v="51A8eKvvZz9uydvIZ7xRSV"/>
    <n v="263865"/>
    <b v="0"/>
    <n v="18"/>
    <s v="4hDok0OAJd57SGIT8xuWJH"/>
    <x v="9"/>
    <d v="2021-04-09T00:00:00"/>
    <n v="26"/>
    <s v="album"/>
    <s v="Taylor Swift"/>
    <s v="06HL4z0CvFAxyc27GXpf02"/>
    <n v="0.45400000000000001"/>
    <n v="0.55500000000000005"/>
    <n v="-6.69"/>
    <n v="2.8299999999999999E-2"/>
    <n v="0.157"/>
    <n v="0"/>
    <n v="0.34300000000000003"/>
    <n v="0.17100000000000001"/>
  </r>
  <r>
    <s v="The Other Side Of The Door (Taylor’s Version)"/>
    <s v="1cSFlSBdpT4F5vb1frQ231"/>
    <n v="238443"/>
    <b v="0"/>
    <n v="19"/>
    <s v="4hDok0OAJd57SGIT8xuWJH"/>
    <x v="9"/>
    <d v="2021-04-09T00:00:00"/>
    <n v="26"/>
    <s v="album"/>
    <s v="Taylor Swift"/>
    <s v="06HL4z0CvFAxyc27GXpf02"/>
    <n v="0.432"/>
    <n v="0.873"/>
    <n v="-4.367"/>
    <n v="5.7700000000000001E-2"/>
    <n v="2.7900000000000001E-2"/>
    <n v="0"/>
    <n v="0.16700000000000001"/>
    <n v="0.629"/>
  </r>
  <r>
    <s v="Today Was A Fairytale (Taylor’s Version)"/>
    <s v="2JoJrsEV15OzbijS47lids"/>
    <n v="241822"/>
    <b v="0"/>
    <n v="20"/>
    <s v="4hDok0OAJd57SGIT8xuWJH"/>
    <x v="9"/>
    <d v="2021-04-09T00:00:00"/>
    <n v="26"/>
    <s v="album"/>
    <s v="Taylor Swift"/>
    <s v="06HL4z0CvFAxyc27GXpf02"/>
    <n v="0.48199999999999998"/>
    <n v="0.77900000000000003"/>
    <n v="-5.0250000000000004"/>
    <n v="4.0899999999999999E-2"/>
    <n v="1.35E-2"/>
    <n v="0"/>
    <n v="0.29599999999999999"/>
    <n v="0.32800000000000001"/>
  </r>
  <r>
    <s v="You All Over Me (feat. Maren Morris) (Taylor’s Version) (From The Vault)"/>
    <s v="4CHpVfAhuxNJ3ibExe6kxO"/>
    <n v="220839"/>
    <b v="0"/>
    <n v="21"/>
    <s v="4hDok0OAJd57SGIT8xuWJH"/>
    <x v="9"/>
    <d v="2021-04-09T00:00:00"/>
    <n v="26"/>
    <s v="album"/>
    <s v="Taylor Swift"/>
    <s v="06HL4z0CvFAxyc27GXpf02"/>
    <n v="0.59899999999999998"/>
    <n v="0.49399999999999999"/>
    <n v="-7.61"/>
    <n v="3.7199999999999997E-2"/>
    <n v="0.81599999999999995"/>
    <n v="0"/>
    <n v="0.10100000000000001"/>
    <n v="0.44"/>
  </r>
  <r>
    <s v="Mr. Perfectly Fine (Taylor’s Version) (From The Vault)"/>
    <s v="2CYVETnhM9aytqrazYYwrK"/>
    <n v="277591"/>
    <b v="0"/>
    <n v="22"/>
    <s v="4hDok0OAJd57SGIT8xuWJH"/>
    <x v="9"/>
    <d v="2021-04-09T00:00:00"/>
    <n v="26"/>
    <s v="album"/>
    <s v="Taylor Swift"/>
    <s v="06HL4z0CvFAxyc27GXpf02"/>
    <n v="0.66"/>
    <n v="0.81699999999999995"/>
    <n v="-6.2690000000000001"/>
    <n v="5.21E-2"/>
    <n v="0.16200000000000001"/>
    <n v="0"/>
    <n v="6.6699999999999995E-2"/>
    <n v="0.71399999999999997"/>
  </r>
  <r>
    <s v="We Were Happy (Taylor’s Version) (From The Vault)"/>
    <s v="34V9RiEPe8MNdU32qJsJa1"/>
    <n v="244236"/>
    <b v="0"/>
    <n v="23"/>
    <s v="4hDok0OAJd57SGIT8xuWJH"/>
    <x v="9"/>
    <d v="2021-04-09T00:00:00"/>
    <n v="26"/>
    <s v="album"/>
    <s v="Taylor Swift"/>
    <s v="06HL4z0CvFAxyc27GXpf02"/>
    <n v="0.60899999999999999"/>
    <n v="0.373"/>
    <n v="-8.8190000000000008"/>
    <n v="2.63E-2"/>
    <n v="0.84899999999999998"/>
    <n v="0"/>
    <n v="7.7899999999999997E-2"/>
    <n v="0.13"/>
  </r>
  <r>
    <s v="That’s When (feat. Keith Urban) (Taylor’s Version) (From The Vault)"/>
    <s v="7eResoqEJJAVTkQYSqvO3P"/>
    <n v="189495"/>
    <b v="0"/>
    <n v="24"/>
    <s v="4hDok0OAJd57SGIT8xuWJH"/>
    <x v="9"/>
    <d v="2021-04-09T00:00:00"/>
    <n v="26"/>
    <s v="album"/>
    <s v="Taylor Swift"/>
    <s v="06HL4z0CvFAxyc27GXpf02"/>
    <n v="0.58799999999999997"/>
    <n v="0.60799999999999998"/>
    <n v="-7.0620000000000003"/>
    <n v="3.6499999999999998E-2"/>
    <n v="0.22500000000000001"/>
    <n v="0"/>
    <n v="9.1999999999999998E-2"/>
    <n v="0.50800000000000001"/>
  </r>
  <r>
    <s v="Don’t You (Taylor’s Version) (From The Vault)"/>
    <s v="4uuEGH5SVuzkkSFjo2DEiY"/>
    <n v="208608"/>
    <b v="0"/>
    <n v="25"/>
    <s v="4hDok0OAJd57SGIT8xuWJH"/>
    <x v="9"/>
    <d v="2021-04-09T00:00:00"/>
    <n v="26"/>
    <s v="album"/>
    <s v="Taylor Swift"/>
    <s v="06HL4z0CvFAxyc27GXpf02"/>
    <n v="0.56299999999999994"/>
    <n v="0.47299999999999998"/>
    <n v="-11.548"/>
    <n v="5.0299999999999997E-2"/>
    <n v="0.51400000000000001"/>
    <n v="1.2E-5"/>
    <n v="0.109"/>
    <n v="0.40500000000000003"/>
  </r>
  <r>
    <s v="Bye Bye Baby (Taylor’s Version) (From The Vault)"/>
    <s v="4qUijfYU8EoIWiY6oSyrgT"/>
    <n v="242157"/>
    <b v="0"/>
    <n v="26"/>
    <s v="4hDok0OAJd57SGIT8xuWJH"/>
    <x v="9"/>
    <d v="2021-04-09T00:00:00"/>
    <n v="26"/>
    <s v="album"/>
    <s v="Taylor Swift"/>
    <s v="06HL4z0CvFAxyc27GXpf02"/>
    <n v="0.624"/>
    <n v="0.624"/>
    <n v="-7.86"/>
    <n v="5.3900000000000003E-2"/>
    <n v="0.33400000000000002"/>
    <n v="0"/>
    <n v="9.9500000000000005E-2"/>
    <n v="0.52700000000000002"/>
  </r>
  <r>
    <s v="willow"/>
    <s v="2gVhfX2Gy1T9kDuS9azrF7"/>
    <n v="214706"/>
    <b v="0"/>
    <n v="1"/>
    <s v="6AORtDjduMM3bupSWzbTSG"/>
    <x v="10"/>
    <d v="2021-01-07T00:00:00"/>
    <n v="17"/>
    <s v="album"/>
    <s v="Taylor Swift"/>
    <s v="06HL4z0CvFAxyc27GXpf02"/>
    <n v="0.39200000000000002"/>
    <n v="0.57399999999999995"/>
    <n v="-9.1950000000000003"/>
    <n v="0.17"/>
    <n v="0.83299999999999996"/>
    <n v="1.7899999999999999E-3"/>
    <n v="0.14499999999999999"/>
    <n v="0.52900000000000003"/>
  </r>
  <r>
    <s v="champagne problems"/>
    <s v="1gcyHQpBQ1lfXGdhZmWrHP"/>
    <n v="244000"/>
    <b v="1"/>
    <n v="2"/>
    <s v="6AORtDjduMM3bupSWzbTSG"/>
    <x v="10"/>
    <d v="2021-01-07T00:00:00"/>
    <n v="17"/>
    <s v="album"/>
    <s v="Taylor Swift"/>
    <s v="06HL4z0CvFAxyc27GXpf02"/>
    <n v="0.46200000000000002"/>
    <n v="0.24"/>
    <n v="-12.077"/>
    <n v="3.7699999999999997E-2"/>
    <n v="0.92"/>
    <n v="0"/>
    <n v="0.113"/>
    <n v="0.32"/>
  </r>
  <r>
    <s v="gold rush"/>
    <s v="3Dby3p1m6IOZn2gIIqECgK"/>
    <n v="185320"/>
    <b v="1"/>
    <n v="3"/>
    <s v="6AORtDjduMM3bupSWzbTSG"/>
    <x v="10"/>
    <d v="2021-01-07T00:00:00"/>
    <n v="17"/>
    <s v="album"/>
    <s v="Taylor Swift"/>
    <s v="06HL4z0CvFAxyc27GXpf02"/>
    <n v="0.51200000000000001"/>
    <n v="0.46200000000000002"/>
    <n v="-10.491"/>
    <n v="4.0800000000000003E-2"/>
    <n v="0.83"/>
    <n v="0.16600000000000001"/>
    <n v="0.121"/>
    <n v="0.35299999999999998"/>
  </r>
  <r>
    <s v="‘tis the damn season"/>
    <s v="6sQckd3Z8NPxVVKUnavY1F"/>
    <n v="229840"/>
    <b v="0"/>
    <n v="4"/>
    <s v="6AORtDjduMM3bupSWzbTSG"/>
    <x v="10"/>
    <d v="2021-01-07T00:00:00"/>
    <n v="17"/>
    <s v="album"/>
    <s v="Taylor Swift"/>
    <s v="06HL4z0CvFAxyc27GXpf02"/>
    <n v="0.57499999999999996"/>
    <n v="0.434"/>
    <n v="-8.1929999999999996"/>
    <n v="3.1199999999999999E-2"/>
    <n v="0.73499999999999999"/>
    <n v="6.5900000000000003E-5"/>
    <n v="0.105"/>
    <n v="0.34799999999999998"/>
  </r>
  <r>
    <s v="tolerate it"/>
    <s v="6lCvK2AR2uOKkVFCVlAzzm"/>
    <n v="245440"/>
    <b v="1"/>
    <n v="5"/>
    <s v="6AORtDjduMM3bupSWzbTSG"/>
    <x v="10"/>
    <d v="2021-01-07T00:00:00"/>
    <n v="17"/>
    <s v="album"/>
    <s v="Taylor Swift"/>
    <s v="06HL4z0CvFAxyc27GXpf02"/>
    <n v="0.316"/>
    <n v="0.36099999999999999"/>
    <n v="-10.381"/>
    <n v="4.8800000000000003E-2"/>
    <n v="0.878"/>
    <n v="2.6699999999999998E-5"/>
    <n v="7.9699999999999993E-2"/>
    <n v="0.221"/>
  </r>
  <r>
    <s v="no body, no crime (feat. HAIM)"/>
    <s v="6uwfVkaOM1mcMkFmSn35ix"/>
    <n v="215626"/>
    <b v="0"/>
    <n v="6"/>
    <s v="6AORtDjduMM3bupSWzbTSG"/>
    <x v="10"/>
    <d v="2021-01-07T00:00:00"/>
    <n v="17"/>
    <s v="album"/>
    <s v="Taylor Swift"/>
    <s v="06HL4z0CvFAxyc27GXpf02"/>
    <n v="0.54600000000000004"/>
    <n v="0.61299999999999999"/>
    <n v="-7.5890000000000004"/>
    <n v="2.64E-2"/>
    <n v="0.41799999999999998"/>
    <n v="0"/>
    <n v="0.10299999999999999"/>
    <n v="0.53500000000000003"/>
  </r>
  <r>
    <s v="happiness"/>
    <s v="55Vf4bimc1Rtfg0PAQRAo2"/>
    <n v="315146"/>
    <b v="1"/>
    <n v="7"/>
    <s v="6AORtDjduMM3bupSWzbTSG"/>
    <x v="10"/>
    <d v="2021-01-07T00:00:00"/>
    <n v="17"/>
    <s v="album"/>
    <s v="Taylor Swift"/>
    <s v="06HL4z0CvFAxyc27GXpf02"/>
    <n v="0.55900000000000005"/>
    <n v="0.33400000000000002"/>
    <n v="-10.733000000000001"/>
    <n v="3.7600000000000001E-2"/>
    <n v="0.87"/>
    <n v="0"/>
    <n v="0.114"/>
    <n v="0.21099999999999999"/>
  </r>
  <r>
    <s v="dorothea"/>
    <s v="66tOfHVH3aUrscg8vExRV4"/>
    <n v="225880"/>
    <b v="0"/>
    <n v="8"/>
    <s v="6AORtDjduMM3bupSWzbTSG"/>
    <x v="10"/>
    <d v="2021-01-07T00:00:00"/>
    <n v="17"/>
    <s v="album"/>
    <s v="Taylor Swift"/>
    <s v="06HL4z0CvFAxyc27GXpf02"/>
    <n v="0.60499999999999998"/>
    <n v="0.48799999999999999"/>
    <n v="-8.3219999999999992"/>
    <n v="2.64E-2"/>
    <n v="0.69599999999999995"/>
    <n v="0"/>
    <n v="0.129"/>
    <n v="0.35399999999999998"/>
  </r>
  <r>
    <s v="coney island (feat. The National)"/>
    <s v="2awNGIJHodfLZSClB3PYhz"/>
    <n v="275320"/>
    <b v="0"/>
    <n v="9"/>
    <s v="6AORtDjduMM3bupSWzbTSG"/>
    <x v="10"/>
    <d v="2021-01-07T00:00:00"/>
    <n v="17"/>
    <s v="album"/>
    <s v="Taylor Swift"/>
    <s v="06HL4z0CvFAxyc27GXpf02"/>
    <n v="0.53700000000000003"/>
    <n v="0.53700000000000003"/>
    <n v="-11.266"/>
    <n v="6.1699999999999998E-2"/>
    <n v="0.81899999999999995"/>
    <n v="9.0399999999999996E-4"/>
    <n v="0.14199999999999999"/>
    <n v="0.29199999999999998"/>
  </r>
  <r>
    <s v="ivy"/>
    <s v="43Ykum9T72UOPhBN31grpN"/>
    <n v="260440"/>
    <b v="1"/>
    <n v="10"/>
    <s v="6AORtDjduMM3bupSWzbTSG"/>
    <x v="10"/>
    <d v="2021-01-07T00:00:00"/>
    <n v="17"/>
    <s v="album"/>
    <s v="Taylor Swift"/>
    <s v="06HL4z0CvFAxyc27GXpf02"/>
    <n v="0.51500000000000001"/>
    <n v="0.54500000000000004"/>
    <n v="-9.2769999999999992"/>
    <n v="3.5299999999999998E-2"/>
    <n v="0.85499999999999998"/>
    <n v="1.9700000000000001E-5"/>
    <n v="9.2100000000000001E-2"/>
    <n v="0.53500000000000003"/>
  </r>
  <r>
    <s v="cowboy like me"/>
    <s v="52OkpDsU6MmPx1AwGOb6Ap"/>
    <n v="275040"/>
    <b v="1"/>
    <n v="11"/>
    <s v="6AORtDjduMM3bupSWzbTSG"/>
    <x v="10"/>
    <d v="2021-01-07T00:00:00"/>
    <n v="17"/>
    <s v="album"/>
    <s v="Taylor Swift"/>
    <s v="06HL4z0CvFAxyc27GXpf02"/>
    <n v="0.60399999999999998"/>
    <n v="0.51700000000000002"/>
    <n v="-9.0139999999999993"/>
    <n v="3.4700000000000002E-2"/>
    <n v="0.76800000000000002"/>
    <n v="1.55E-4"/>
    <n v="0.123"/>
    <n v="0.51100000000000001"/>
  </r>
  <r>
    <s v="long story short"/>
    <s v="5VYWxXUpxuxEmCqMLDqICo"/>
    <n v="215920"/>
    <b v="0"/>
    <n v="12"/>
    <s v="6AORtDjduMM3bupSWzbTSG"/>
    <x v="10"/>
    <d v="2021-01-07T00:00:00"/>
    <n v="17"/>
    <s v="album"/>
    <s v="Taylor Swift"/>
    <s v="06HL4z0CvFAxyc27GXpf02"/>
    <n v="0.54600000000000004"/>
    <n v="0.73"/>
    <n v="-7.7039999999999997"/>
    <n v="4.1700000000000001E-2"/>
    <n v="0.66"/>
    <n v="0.17899999999999999"/>
    <n v="9.7199999999999995E-2"/>
    <n v="0.57299999999999995"/>
  </r>
  <r>
    <s v="marjorie"/>
    <s v="5uICWmZTLkpEVbK22PBP6e"/>
    <n v="257773"/>
    <b v="0"/>
    <n v="13"/>
    <s v="6AORtDjduMM3bupSWzbTSG"/>
    <x v="10"/>
    <d v="2021-01-07T00:00:00"/>
    <n v="17"/>
    <s v="album"/>
    <s v="Taylor Swift"/>
    <s v="06HL4z0CvFAxyc27GXpf02"/>
    <n v="0.53500000000000003"/>
    <n v="0.56100000000000005"/>
    <n v="-11.609"/>
    <n v="4.8399999999999999E-2"/>
    <n v="0.876"/>
    <n v="1.36E-4"/>
    <n v="0.115"/>
    <n v="0.28699999999999998"/>
  </r>
  <r>
    <s v="closure"/>
    <s v="6a8aUhYbaQBUI8PcJ5ZmQ6"/>
    <n v="180653"/>
    <b v="0"/>
    <n v="14"/>
    <s v="6AORtDjduMM3bupSWzbTSG"/>
    <x v="10"/>
    <d v="2021-01-07T00:00:00"/>
    <n v="17"/>
    <s v="album"/>
    <s v="Taylor Swift"/>
    <s v="06HL4z0CvFAxyc27GXpf02"/>
    <n v="0.68899999999999995"/>
    <n v="0.70399999999999996"/>
    <n v="-10.813000000000001"/>
    <n v="0.245"/>
    <n v="0.83499999999999996"/>
    <n v="4.8300000000000003E-6"/>
    <n v="0.13400000000000001"/>
    <n v="0.92"/>
  </r>
  <r>
    <s v="evermore (feat. Bon Iver)"/>
    <s v="6Wlq9rqkxrqj5Kls4Kw14H"/>
    <n v="304106"/>
    <b v="0"/>
    <n v="15"/>
    <s v="6AORtDjduMM3bupSWzbTSG"/>
    <x v="10"/>
    <d v="2021-01-07T00:00:00"/>
    <n v="17"/>
    <s v="album"/>
    <s v="Taylor Swift"/>
    <s v="06HL4z0CvFAxyc27GXpf02"/>
    <n v="0.39"/>
    <n v="0.27"/>
    <n v="-10.673"/>
    <n v="3.0800000000000001E-2"/>
    <n v="0.93700000000000006"/>
    <n v="2.2699999999999999E-3"/>
    <n v="0.111"/>
    <n v="0.32"/>
  </r>
  <r>
    <s v="right where you left me - bonus track"/>
    <s v="3zwMVvkBe2qIKDObWgXw4N"/>
    <n v="245026"/>
    <b v="0"/>
    <n v="16"/>
    <s v="6AORtDjduMM3bupSWzbTSG"/>
    <x v="10"/>
    <d v="2021-01-07T00:00:00"/>
    <n v="17"/>
    <s v="album"/>
    <s v="Taylor Swift"/>
    <s v="06HL4z0CvFAxyc27GXpf02"/>
    <n v="0.58099999999999996"/>
    <n v="0.61899999999999999"/>
    <n v="-6.524"/>
    <n v="2.8199999999999999E-2"/>
    <n v="0.76900000000000002"/>
    <n v="1.06E-4"/>
    <n v="0.11700000000000001"/>
    <n v="0.64500000000000002"/>
  </r>
  <r>
    <s v="it’s time to go - bonus track"/>
    <s v="1kdWw77ZpYOkhxeuhzU1j6"/>
    <n v="254640"/>
    <b v="0"/>
    <n v="17"/>
    <s v="6AORtDjduMM3bupSWzbTSG"/>
    <x v="10"/>
    <d v="2021-01-07T00:00:00"/>
    <n v="17"/>
    <s v="album"/>
    <s v="Taylor Swift"/>
    <s v="06HL4z0CvFAxyc27GXpf02"/>
    <n v="0.59199999999999997"/>
    <n v="0.41"/>
    <n v="-12.426"/>
    <n v="3.9699999999999999E-2"/>
    <n v="0.80100000000000005"/>
    <n v="1.3900000000000001E-5"/>
    <n v="0.09"/>
    <n v="0.41599999999999998"/>
  </r>
  <r>
    <s v="willow"/>
    <s v="0lx2cLdOt3piJbcaXIV74f"/>
    <n v="214706"/>
    <b v="0"/>
    <n v="1"/>
    <s v="2Xoteh7uEpea4TohMxjtaq"/>
    <x v="11"/>
    <d v="2020-12-11T00:00:00"/>
    <n v="15"/>
    <s v="album"/>
    <s v="Taylor Swift"/>
    <s v="06HL4z0CvFAxyc27GXpf02"/>
    <n v="0.39200000000000002"/>
    <n v="0.57399999999999995"/>
    <n v="-9.1950000000000003"/>
    <n v="0.17"/>
    <n v="0.83299999999999996"/>
    <n v="1.7899999999999999E-3"/>
    <n v="0.14499999999999999"/>
    <n v="0.52900000000000003"/>
  </r>
  <r>
    <s v="champagne problems"/>
    <s v="0sY6ZUTh4yoctD8VIXz339"/>
    <n v="244000"/>
    <b v="1"/>
    <n v="2"/>
    <s v="2Xoteh7uEpea4TohMxjtaq"/>
    <x v="11"/>
    <d v="2020-12-11T00:00:00"/>
    <n v="15"/>
    <s v="album"/>
    <s v="Taylor Swift"/>
    <s v="06HL4z0CvFAxyc27GXpf02"/>
    <n v="0.46200000000000002"/>
    <n v="0.24"/>
    <n v="-12.077"/>
    <n v="3.7699999999999997E-2"/>
    <n v="0.92"/>
    <n v="0"/>
    <n v="0.113"/>
    <n v="0.32"/>
  </r>
  <r>
    <s v="gold rush"/>
    <s v="5BK0uqwY9DNfZ630STAEaq"/>
    <n v="185320"/>
    <b v="1"/>
    <n v="3"/>
    <s v="2Xoteh7uEpea4TohMxjtaq"/>
    <x v="11"/>
    <d v="2020-12-11T00:00:00"/>
    <n v="15"/>
    <s v="album"/>
    <s v="Taylor Swift"/>
    <s v="06HL4z0CvFAxyc27GXpf02"/>
    <n v="0.51200000000000001"/>
    <n v="0.46200000000000002"/>
    <n v="-10.491"/>
    <n v="4.0800000000000003E-2"/>
    <n v="0.83"/>
    <n v="0.16600000000000001"/>
    <n v="0.121"/>
    <n v="0.35299999999999998"/>
  </r>
  <r>
    <s v="‘tis the damn season"/>
    <s v="7dW84mWkdWE5a6lFWxJCBG"/>
    <n v="229840"/>
    <b v="0"/>
    <n v="4"/>
    <s v="2Xoteh7uEpea4TohMxjtaq"/>
    <x v="11"/>
    <d v="2020-12-11T00:00:00"/>
    <n v="15"/>
    <s v="album"/>
    <s v="Taylor Swift"/>
    <s v="06HL4z0CvFAxyc27GXpf02"/>
    <n v="0.57499999999999996"/>
    <n v="0.434"/>
    <n v="-8.1929999999999996"/>
    <n v="3.1199999999999999E-2"/>
    <n v="0.73499999999999999"/>
    <n v="6.5900000000000003E-5"/>
    <n v="0.105"/>
    <n v="0.34799999999999998"/>
  </r>
  <r>
    <s v="tolerate it"/>
    <s v="0PurA4JVJ8YQgSVopY8fn6"/>
    <n v="245440"/>
    <b v="1"/>
    <n v="5"/>
    <s v="2Xoteh7uEpea4TohMxjtaq"/>
    <x v="11"/>
    <d v="2020-12-11T00:00:00"/>
    <n v="15"/>
    <s v="album"/>
    <s v="Taylor Swift"/>
    <s v="06HL4z0CvFAxyc27GXpf02"/>
    <n v="0.316"/>
    <n v="0.36099999999999999"/>
    <n v="-10.381"/>
    <n v="4.8800000000000003E-2"/>
    <n v="0.878"/>
    <n v="2.6699999999999998E-5"/>
    <n v="7.9699999999999993E-2"/>
    <n v="0.221"/>
  </r>
  <r>
    <s v="no body, no crime (feat. HAIM)"/>
    <s v="3RaT22zZsxVYxxKR7TAaYF"/>
    <n v="215626"/>
    <b v="0"/>
    <n v="6"/>
    <s v="2Xoteh7uEpea4TohMxjtaq"/>
    <x v="11"/>
    <d v="2020-12-11T00:00:00"/>
    <n v="15"/>
    <s v="album"/>
    <s v="Taylor Swift"/>
    <s v="06HL4z0CvFAxyc27GXpf02"/>
    <n v="0.54600000000000004"/>
    <n v="0.61299999999999999"/>
    <n v="-7.5890000000000004"/>
    <n v="2.64E-2"/>
    <n v="0.41799999999999998"/>
    <n v="0"/>
    <n v="0.10299999999999999"/>
    <n v="0.53500000000000003"/>
  </r>
  <r>
    <s v="happiness"/>
    <s v="73YUReisjb3A9ActdLLjJQ"/>
    <n v="315146"/>
    <b v="1"/>
    <n v="7"/>
    <s v="2Xoteh7uEpea4TohMxjtaq"/>
    <x v="11"/>
    <d v="2020-12-11T00:00:00"/>
    <n v="15"/>
    <s v="album"/>
    <s v="Taylor Swift"/>
    <s v="06HL4z0CvFAxyc27GXpf02"/>
    <n v="0.55900000000000005"/>
    <n v="0.33400000000000002"/>
    <n v="-10.733000000000001"/>
    <n v="3.7600000000000001E-2"/>
    <n v="0.87"/>
    <n v="0"/>
    <n v="0.114"/>
    <n v="0.21099999999999999"/>
  </r>
  <r>
    <s v="dorothea"/>
    <s v="670fUmXf4KQekzbEgaXyPA"/>
    <n v="225880"/>
    <b v="0"/>
    <n v="8"/>
    <s v="2Xoteh7uEpea4TohMxjtaq"/>
    <x v="11"/>
    <d v="2020-12-11T00:00:00"/>
    <n v="15"/>
    <s v="album"/>
    <s v="Taylor Swift"/>
    <s v="06HL4z0CvFAxyc27GXpf02"/>
    <n v="0.60499999999999998"/>
    <n v="0.48799999999999999"/>
    <n v="-8.3219999999999992"/>
    <n v="2.64E-2"/>
    <n v="0.69599999999999995"/>
    <n v="0"/>
    <n v="0.129"/>
    <n v="0.35399999999999998"/>
  </r>
  <r>
    <s v="coney island (feat. The National)"/>
    <s v="3k7ne7VmH43ZPWxPdvPUgR"/>
    <n v="275320"/>
    <b v="0"/>
    <n v="9"/>
    <s v="2Xoteh7uEpea4TohMxjtaq"/>
    <x v="11"/>
    <d v="2020-12-11T00:00:00"/>
    <n v="15"/>
    <s v="album"/>
    <s v="Taylor Swift"/>
    <s v="06HL4z0CvFAxyc27GXpf02"/>
    <n v="0.53700000000000003"/>
    <n v="0.53700000000000003"/>
    <n v="-11.266"/>
    <n v="6.1699999999999998E-2"/>
    <n v="0.81899999999999995"/>
    <n v="9.0399999999999996E-4"/>
    <n v="0.14199999999999999"/>
    <n v="0.29199999999999998"/>
  </r>
  <r>
    <s v="ivy"/>
    <s v="19CSr8rwW05VJL2F91KFNK"/>
    <n v="260440"/>
    <b v="1"/>
    <n v="10"/>
    <s v="2Xoteh7uEpea4TohMxjtaq"/>
    <x v="11"/>
    <d v="2020-12-11T00:00:00"/>
    <n v="15"/>
    <s v="album"/>
    <s v="Taylor Swift"/>
    <s v="06HL4z0CvFAxyc27GXpf02"/>
    <n v="0.51500000000000001"/>
    <n v="0.54500000000000004"/>
    <n v="-9.2769999999999992"/>
    <n v="3.5299999999999998E-2"/>
    <n v="0.85499999999999998"/>
    <n v="1.9700000000000001E-5"/>
    <n v="9.2100000000000001E-2"/>
    <n v="0.53500000000000003"/>
  </r>
  <r>
    <s v="cowboy like me"/>
    <s v="1XjHRolIXL2M1EEOUsGGR4"/>
    <n v="275040"/>
    <b v="1"/>
    <n v="11"/>
    <s v="2Xoteh7uEpea4TohMxjtaq"/>
    <x v="11"/>
    <d v="2020-12-11T00:00:00"/>
    <n v="15"/>
    <s v="album"/>
    <s v="Taylor Swift"/>
    <s v="06HL4z0CvFAxyc27GXpf02"/>
    <n v="0.60399999999999998"/>
    <n v="0.51700000000000002"/>
    <n v="-9.0139999999999993"/>
    <n v="3.4700000000000002E-2"/>
    <n v="0.76800000000000002"/>
    <n v="1.55E-4"/>
    <n v="0.123"/>
    <n v="0.51100000000000001"/>
  </r>
  <r>
    <s v="long story short"/>
    <s v="2o2sgVJIgFXk8GQjWTgI6U"/>
    <n v="215920"/>
    <b v="0"/>
    <n v="12"/>
    <s v="2Xoteh7uEpea4TohMxjtaq"/>
    <x v="11"/>
    <d v="2020-12-11T00:00:00"/>
    <n v="15"/>
    <s v="album"/>
    <s v="Taylor Swift"/>
    <s v="06HL4z0CvFAxyc27GXpf02"/>
    <n v="0.54600000000000004"/>
    <n v="0.73"/>
    <n v="-7.7039999999999997"/>
    <n v="4.1700000000000001E-2"/>
    <n v="0.66"/>
    <n v="0.17899999999999999"/>
    <n v="9.7199999999999995E-2"/>
    <n v="0.57299999999999995"/>
  </r>
  <r>
    <s v="marjorie"/>
    <s v="12ntTeqEeTg7GAVpe8Mhpl"/>
    <n v="257773"/>
    <b v="0"/>
    <n v="13"/>
    <s v="2Xoteh7uEpea4TohMxjtaq"/>
    <x v="11"/>
    <d v="2020-12-11T00:00:00"/>
    <n v="15"/>
    <s v="album"/>
    <s v="Taylor Swift"/>
    <s v="06HL4z0CvFAxyc27GXpf02"/>
    <n v="0.53500000000000003"/>
    <n v="0.56100000000000005"/>
    <n v="-11.609"/>
    <n v="4.8399999999999999E-2"/>
    <n v="0.876"/>
    <n v="1.36E-4"/>
    <n v="0.115"/>
    <n v="0.28699999999999998"/>
  </r>
  <r>
    <s v="closure"/>
    <s v="35rdVq36LMHQX0Suw9a6tK"/>
    <n v="180653"/>
    <b v="0"/>
    <n v="14"/>
    <s v="2Xoteh7uEpea4TohMxjtaq"/>
    <x v="11"/>
    <d v="2020-12-11T00:00:00"/>
    <n v="15"/>
    <s v="album"/>
    <s v="Taylor Swift"/>
    <s v="06HL4z0CvFAxyc27GXpf02"/>
    <n v="0.68899999999999995"/>
    <n v="0.70399999999999996"/>
    <n v="-10.813000000000001"/>
    <n v="0.245"/>
    <n v="0.83499999999999996"/>
    <n v="4.8300000000000003E-6"/>
    <n v="0.13400000000000001"/>
    <n v="0.92"/>
  </r>
  <r>
    <s v="evermore (feat. Bon Iver)"/>
    <s v="3O5osWf1rSoKMwe6E9ZaXP"/>
    <n v="304106"/>
    <b v="0"/>
    <n v="15"/>
    <s v="2Xoteh7uEpea4TohMxjtaq"/>
    <x v="11"/>
    <d v="2020-12-11T00:00:00"/>
    <n v="15"/>
    <s v="album"/>
    <s v="Taylor Swift"/>
    <s v="06HL4z0CvFAxyc27GXpf02"/>
    <n v="0.39"/>
    <n v="0.27"/>
    <n v="-10.673"/>
    <n v="3.0800000000000001E-2"/>
    <n v="0.93700000000000006"/>
    <n v="2.2699999999999999E-3"/>
    <n v="0.111"/>
    <n v="0.32"/>
  </r>
  <r>
    <s v="the 1"/>
    <s v="0P9wLFurlgumLXuqFEpw52"/>
    <n v="210240"/>
    <b v="1"/>
    <n v="1"/>
    <s v="0PZ7lAru5FDFHuirTkWe9Z"/>
    <x v="12"/>
    <d v="2020-11-25T00:00:00"/>
    <n v="34"/>
    <s v="album"/>
    <s v="Taylor Swift"/>
    <s v="06HL4z0CvFAxyc27GXpf02"/>
    <n v="0.78"/>
    <n v="0.36099999999999999"/>
    <n v="-6.9420000000000002"/>
    <n v="4.8000000000000001E-2"/>
    <n v="0.75"/>
    <n v="7.1400000000000002E-6"/>
    <n v="0.108"/>
    <n v="0.16300000000000001"/>
  </r>
  <r>
    <s v="cardigan"/>
    <s v="7zcnlq38eqNWyUF6eNaB5Z"/>
    <n v="239560"/>
    <b v="0"/>
    <n v="2"/>
    <s v="0PZ7lAru5FDFHuirTkWe9Z"/>
    <x v="12"/>
    <d v="2020-11-25T00:00:00"/>
    <n v="34"/>
    <s v="album"/>
    <s v="Taylor Swift"/>
    <s v="06HL4z0CvFAxyc27GXpf02"/>
    <n v="0.61199999999999999"/>
    <n v="0.57999999999999996"/>
    <n v="-8.5719999999999992"/>
    <n v="4.19E-2"/>
    <n v="0.52500000000000002"/>
    <n v="4.1399999999999998E-4"/>
    <n v="0.26"/>
    <n v="0.53400000000000003"/>
  </r>
  <r>
    <s v="the last great american dynasty"/>
    <s v="4ojxSyrEraN7d46BMBPThZ"/>
    <n v="231000"/>
    <b v="1"/>
    <n v="3"/>
    <s v="0PZ7lAru5FDFHuirTkWe9Z"/>
    <x v="12"/>
    <d v="2020-11-25T00:00:00"/>
    <n v="34"/>
    <s v="album"/>
    <s v="Taylor Swift"/>
    <s v="06HL4z0CvFAxyc27GXpf02"/>
    <n v="0.68799999999999994"/>
    <n v="0.65300000000000002"/>
    <n v="-8.5579999999999998"/>
    <n v="4.0300000000000002E-2"/>
    <n v="0.48099999999999998"/>
    <n v="4.1399999999999996E-3"/>
    <n v="0.106"/>
    <n v="0.70099999999999996"/>
  </r>
  <r>
    <s v="exile (feat. Bon Iver)"/>
    <s v="6kz2hkq1xQvDqPcUyBkw8f"/>
    <n v="285640"/>
    <b v="0"/>
    <n v="4"/>
    <s v="0PZ7lAru5FDFHuirTkWe9Z"/>
    <x v="12"/>
    <d v="2020-11-25T00:00:00"/>
    <n v="34"/>
    <s v="album"/>
    <s v="Taylor Swift"/>
    <s v="06HL4z0CvFAxyc27GXpf02"/>
    <n v="0.31"/>
    <n v="0.374"/>
    <n v="-8.4640000000000004"/>
    <n v="2.75E-2"/>
    <n v="0.76100000000000001"/>
    <n v="2.4600000000000002E-5"/>
    <n v="0.11"/>
    <n v="0.16"/>
  </r>
  <r>
    <s v="my tears ricochet"/>
    <s v="0Oju1YcbPCJuUQQWoZNdJK"/>
    <n v="255893"/>
    <b v="0"/>
    <n v="5"/>
    <s v="0PZ7lAru5FDFHuirTkWe9Z"/>
    <x v="12"/>
    <d v="2020-11-25T00:00:00"/>
    <n v="34"/>
    <s v="album"/>
    <s v="Taylor Swift"/>
    <s v="06HL4z0CvFAxyc27GXpf02"/>
    <n v="0.45600000000000002"/>
    <n v="0.26500000000000001"/>
    <n v="-10.663"/>
    <n v="3.2800000000000003E-2"/>
    <n v="0.81399999999999995"/>
    <n v="0"/>
    <n v="6.7900000000000002E-2"/>
    <n v="0.112"/>
  </r>
  <r>
    <s v="mirrorball"/>
    <s v="5jQyGzcwqAxwT5QUIMivoX"/>
    <n v="208973"/>
    <b v="0"/>
    <n v="6"/>
    <s v="0PZ7lAru5FDFHuirTkWe9Z"/>
    <x v="12"/>
    <d v="2020-11-25T00:00:00"/>
    <n v="34"/>
    <s v="album"/>
    <s v="Taylor Swift"/>
    <s v="06HL4z0CvFAxyc27GXpf02"/>
    <n v="0.54900000000000004"/>
    <n v="0.41699999999999998"/>
    <n v="-10.064"/>
    <n v="3.5000000000000003E-2"/>
    <n v="0.68600000000000005"/>
    <n v="1.9E-6"/>
    <n v="6.0400000000000002E-2"/>
    <n v="0.34699999999999998"/>
  </r>
  <r>
    <s v="seven"/>
    <s v="2vJ7QvyCiR4DaHxwO58izA"/>
    <n v="208906"/>
    <b v="0"/>
    <n v="7"/>
    <s v="0PZ7lAru5FDFHuirTkWe9Z"/>
    <x v="12"/>
    <d v="2020-11-25T00:00:00"/>
    <n v="34"/>
    <s v="album"/>
    <s v="Taylor Swift"/>
    <s v="06HL4z0CvFAxyc27GXpf02"/>
    <n v="0.60199999999999998"/>
    <n v="0.49399999999999999"/>
    <n v="-10.813000000000001"/>
    <n v="2.7699999999999999E-2"/>
    <n v="0.88800000000000001"/>
    <n v="2.5899999999999999E-5"/>
    <n v="9.0200000000000002E-2"/>
    <n v="0.374"/>
  </r>
  <r>
    <s v="august"/>
    <s v="1UHoF9p75IVsvUt6WdTYhn"/>
    <n v="261920"/>
    <b v="0"/>
    <n v="8"/>
    <s v="0PZ7lAru5FDFHuirTkWe9Z"/>
    <x v="12"/>
    <d v="2020-11-25T00:00:00"/>
    <n v="34"/>
    <s v="album"/>
    <s v="Taylor Swift"/>
    <s v="06HL4z0CvFAxyc27GXpf02"/>
    <n v="0.38700000000000001"/>
    <n v="0.63400000000000001"/>
    <n v="-9.2219999999999995"/>
    <n v="3.6299999999999999E-2"/>
    <n v="0.55300000000000005"/>
    <n v="6.9300000000000004E-5"/>
    <n v="9.3100000000000002E-2"/>
    <n v="0.42"/>
  </r>
  <r>
    <s v="this is me trying"/>
    <s v="5DnDBYrfGoxdnomqEAkFIv"/>
    <n v="195106"/>
    <b v="0"/>
    <n v="9"/>
    <s v="0PZ7lAru5FDFHuirTkWe9Z"/>
    <x v="12"/>
    <d v="2020-11-25T00:00:00"/>
    <n v="34"/>
    <s v="album"/>
    <s v="Taylor Swift"/>
    <s v="06HL4z0CvFAxyc27GXpf02"/>
    <n v="0.51100000000000001"/>
    <n v="0.47799999999999998"/>
    <n v="-9.8369999999999997"/>
    <n v="3.2199999999999999E-2"/>
    <n v="0.312"/>
    <n v="2.3E-5"/>
    <n v="0.14699999999999999"/>
    <n v="0.40799999999999997"/>
  </r>
  <r>
    <s v="illicit affairs"/>
    <s v="7CVTowKpGPA2MsIbkTl2oc"/>
    <n v="190893"/>
    <b v="0"/>
    <n v="10"/>
    <s v="0PZ7lAru5FDFHuirTkWe9Z"/>
    <x v="12"/>
    <d v="2020-11-25T00:00:00"/>
    <n v="34"/>
    <s v="album"/>
    <s v="Taylor Swift"/>
    <s v="06HL4z0CvFAxyc27GXpf02"/>
    <n v="0.52900000000000003"/>
    <n v="0.30399999999999999"/>
    <n v="-10.567"/>
    <n v="3.56E-2"/>
    <n v="0.86199999999999999"/>
    <n v="0"/>
    <n v="0.108"/>
    <n v="0.44"/>
  </r>
  <r>
    <s v="invisible string"/>
    <s v="4WHIqhrbdva5vQSrCuet3l"/>
    <n v="252880"/>
    <b v="0"/>
    <n v="11"/>
    <s v="0PZ7lAru5FDFHuirTkWe9Z"/>
    <x v="12"/>
    <d v="2020-11-25T00:00:00"/>
    <n v="34"/>
    <s v="album"/>
    <s v="Taylor Swift"/>
    <s v="06HL4z0CvFAxyc27GXpf02"/>
    <n v="0.65100000000000002"/>
    <n v="0.45900000000000002"/>
    <n v="-11.128"/>
    <n v="5.0700000000000002E-2"/>
    <n v="0.85899999999999999"/>
    <n v="6.6299999999999999E-5"/>
    <n v="0.105"/>
    <n v="0.45400000000000001"/>
  </r>
  <r>
    <s v="mad woman"/>
    <s v="7klXN6RCN5Rj0VeYO5gBzU"/>
    <n v="237266"/>
    <b v="1"/>
    <n v="12"/>
    <s v="0PZ7lAru5FDFHuirTkWe9Z"/>
    <x v="12"/>
    <d v="2020-11-25T00:00:00"/>
    <n v="34"/>
    <s v="album"/>
    <s v="Taylor Swift"/>
    <s v="06HL4z0CvFAxyc27GXpf02"/>
    <n v="0.59299999999999997"/>
    <n v="0.7"/>
    <n v="-9.016"/>
    <n v="4.9200000000000001E-2"/>
    <n v="0.67"/>
    <n v="6.7700000000000004E-6"/>
    <n v="0.11600000000000001"/>
    <n v="0.45100000000000001"/>
  </r>
  <r>
    <s v="epiphany"/>
    <s v="5MFjHn1qfR9AsWuyzJLk1z"/>
    <n v="289746"/>
    <b v="0"/>
    <n v="13"/>
    <s v="0PZ7lAru5FDFHuirTkWe9Z"/>
    <x v="12"/>
    <d v="2020-11-25T00:00:00"/>
    <n v="34"/>
    <s v="album"/>
    <s v="Taylor Swift"/>
    <s v="06HL4z0CvFAxyc27GXpf02"/>
    <n v="0.317"/>
    <n v="0.254"/>
    <n v="-13.679"/>
    <n v="2.86E-2"/>
    <n v="0.72699999999999998"/>
    <n v="3.2600000000000001E-4"/>
    <n v="8.6699999999999999E-2"/>
    <n v="0.10299999999999999"/>
  </r>
  <r>
    <s v="betty"/>
    <s v="2jhfs6moEAK13eLM6xim4l"/>
    <n v="294520"/>
    <b v="1"/>
    <n v="14"/>
    <s v="0PZ7lAru5FDFHuirTkWe9Z"/>
    <x v="12"/>
    <d v="2020-11-25T00:00:00"/>
    <n v="34"/>
    <s v="album"/>
    <s v="Taylor Swift"/>
    <s v="06HL4z0CvFAxyc27GXpf02"/>
    <n v="0.59499999999999997"/>
    <n v="0.376"/>
    <n v="-8.7669999999999995"/>
    <n v="2.5600000000000001E-2"/>
    <n v="0.58899999999999997"/>
    <n v="0"/>
    <n v="9.8900000000000002E-2"/>
    <n v="0.47599999999999998"/>
  </r>
  <r>
    <s v="peace"/>
    <s v="0O9i6jhscByEJs1ipy5hu4"/>
    <n v="234000"/>
    <b v="1"/>
    <n v="15"/>
    <s v="0PZ7lAru5FDFHuirTkWe9Z"/>
    <x v="12"/>
    <d v="2020-11-25T00:00:00"/>
    <n v="34"/>
    <s v="album"/>
    <s v="Taylor Swift"/>
    <s v="06HL4z0CvFAxyc27GXpf02"/>
    <n v="0.64400000000000002"/>
    <n v="0.28399999999999997"/>
    <n v="-12.879"/>
    <n v="8.2100000000000006E-2"/>
    <n v="0.91600000000000004"/>
    <n v="1.5E-5"/>
    <n v="9.0899999999999995E-2"/>
    <n v="0.32800000000000001"/>
  </r>
  <r>
    <s v="hoax"/>
    <s v="4XCYmu7QLySdIahgBALKJK"/>
    <n v="220040"/>
    <b v="0"/>
    <n v="16"/>
    <s v="0PZ7lAru5FDFHuirTkWe9Z"/>
    <x v="12"/>
    <d v="2020-11-25T00:00:00"/>
    <n v="34"/>
    <s v="album"/>
    <s v="Taylor Swift"/>
    <s v="06HL4z0CvFAxyc27GXpf02"/>
    <n v="0.67600000000000005"/>
    <n v="0.17799999999999999"/>
    <n v="-15.01"/>
    <n v="3.9399999999999998E-2"/>
    <n v="0.96399999999999997"/>
    <n v="7.9000000000000006E-6"/>
    <n v="0.13500000000000001"/>
    <n v="0.40400000000000003"/>
  </r>
  <r>
    <s v="the lakes - bonus track"/>
    <s v="0zEprKYeuGOIZoHyu6O1E2"/>
    <n v="211813"/>
    <b v="0"/>
    <n v="17"/>
    <s v="0PZ7lAru5FDFHuirTkWe9Z"/>
    <x v="12"/>
    <d v="2020-11-25T00:00:00"/>
    <n v="34"/>
    <s v="album"/>
    <s v="Taylor Swift"/>
    <s v="06HL4z0CvFAxyc27GXpf02"/>
    <n v="0.313"/>
    <n v="0.25800000000000001"/>
    <n v="-11.532"/>
    <n v="3.8300000000000001E-2"/>
    <n v="0.84199999999999997"/>
    <n v="1.3E-6"/>
    <n v="9.4799999999999995E-2"/>
    <n v="0.26800000000000002"/>
  </r>
  <r>
    <s v="the 1 - the long pond studio sessions"/>
    <s v="08J4bMHbILkwSIhbtrcvjN"/>
    <n v="219893"/>
    <b v="1"/>
    <n v="1"/>
    <s v="0PZ7lAru5FDFHuirTkWe9Z"/>
    <x v="12"/>
    <d v="2020-11-25T00:00:00"/>
    <n v="34"/>
    <s v="album"/>
    <s v="Taylor Swift"/>
    <s v="06HL4z0CvFAxyc27GXpf02"/>
    <n v="0.70799999999999996"/>
    <n v="0.25"/>
    <n v="-10.731"/>
    <n v="3.61E-2"/>
    <n v="0.89800000000000002"/>
    <n v="2.5999999999999999E-2"/>
    <n v="0.10199999999999999"/>
    <n v="0.156"/>
  </r>
  <r>
    <s v="cardigan - the long pond studio sessions"/>
    <s v="3EPgWM1zfTSzEc0z4AwWTM"/>
    <n v="230680"/>
    <b v="0"/>
    <n v="2"/>
    <s v="0PZ7lAru5FDFHuirTkWe9Z"/>
    <x v="12"/>
    <d v="2020-11-25T00:00:00"/>
    <n v="34"/>
    <s v="album"/>
    <s v="Taylor Swift"/>
    <s v="06HL4z0CvFAxyc27GXpf02"/>
    <n v="0.39500000000000002"/>
    <n v="0.23400000000000001"/>
    <n v="-9.7040000000000006"/>
    <n v="3.8199999999999998E-2"/>
    <n v="0.88"/>
    <n v="0"/>
    <n v="0.107"/>
    <n v="0.247"/>
  </r>
  <r>
    <s v="the last great american dynasty - the long pond studio sessions"/>
    <s v="28tIMaewZuGR8urkvFhQyA"/>
    <n v="232346"/>
    <b v="0"/>
    <n v="3"/>
    <s v="0PZ7lAru5FDFHuirTkWe9Z"/>
    <x v="12"/>
    <d v="2020-11-25T00:00:00"/>
    <n v="34"/>
    <s v="album"/>
    <s v="Taylor Swift"/>
    <s v="06HL4z0CvFAxyc27GXpf02"/>
    <n v="0.64"/>
    <n v="0.61799999999999999"/>
    <n v="-11.715"/>
    <n v="3.7900000000000003E-2"/>
    <n v="0.74299999999999999"/>
    <n v="4.0000000000000001E-3"/>
    <n v="5.74E-2"/>
    <n v="0.61399999999999999"/>
  </r>
  <r>
    <s v="exile (feat. Bon Iver) - the long pond studio sessions"/>
    <s v="7N015NTIWGjQDddHUdHPoO"/>
    <n v="279893"/>
    <b v="0"/>
    <n v="4"/>
    <s v="0PZ7lAru5FDFHuirTkWe9Z"/>
    <x v="12"/>
    <d v="2020-11-25T00:00:00"/>
    <n v="34"/>
    <s v="album"/>
    <s v="Taylor Swift"/>
    <s v="06HL4z0CvFAxyc27GXpf02"/>
    <n v="0.35899999999999999"/>
    <n v="0.30499999999999999"/>
    <n v="-10.295"/>
    <n v="3.0599999999999999E-2"/>
    <n v="0.84799999999999998"/>
    <n v="6.7399999999999998E-5"/>
    <n v="0.111"/>
    <n v="0.108"/>
  </r>
  <r>
    <s v="my tears ricochet - the long pond studio sessions"/>
    <s v="5mdNyCS7ttVcAyVYOIFEjs"/>
    <n v="295173"/>
    <b v="0"/>
    <n v="5"/>
    <s v="0PZ7lAru5FDFHuirTkWe9Z"/>
    <x v="12"/>
    <d v="2020-11-25T00:00:00"/>
    <n v="34"/>
    <s v="album"/>
    <s v="Taylor Swift"/>
    <s v="06HL4z0CvFAxyc27GXpf02"/>
    <n v="0.53100000000000003"/>
    <n v="0.17199999999999999"/>
    <n v="-12.34"/>
    <n v="3.5099999999999999E-2"/>
    <n v="0.94599999999999995"/>
    <n v="1.01E-5"/>
    <n v="6.1499999999999999E-2"/>
    <n v="0.16800000000000001"/>
  </r>
  <r>
    <s v="mirrorball - the long pond studio sessions"/>
    <s v="2yceD2hx5HhOLgkm1CITCi"/>
    <n v="237373"/>
    <b v="0"/>
    <n v="6"/>
    <s v="0PZ7lAru5FDFHuirTkWe9Z"/>
    <x v="12"/>
    <d v="2020-11-25T00:00:00"/>
    <n v="34"/>
    <s v="album"/>
    <s v="Taylor Swift"/>
    <s v="06HL4z0CvFAxyc27GXpf02"/>
    <n v="0.50900000000000001"/>
    <n v="0.38600000000000001"/>
    <n v="-8.4339999999999993"/>
    <n v="2.7199999999999998E-2"/>
    <n v="0.78"/>
    <n v="3.4499999999999998E-5"/>
    <n v="0.11799999999999999"/>
    <n v="0.109"/>
  </r>
  <r>
    <s v="seven - the long pond studio sessions"/>
    <s v="4cOWq0cVsKjxaQpRMbDoH1"/>
    <n v="208986"/>
    <b v="0"/>
    <n v="7"/>
    <s v="0PZ7lAru5FDFHuirTkWe9Z"/>
    <x v="12"/>
    <d v="2020-11-25T00:00:00"/>
    <n v="34"/>
    <s v="album"/>
    <s v="Taylor Swift"/>
    <s v="06HL4z0CvFAxyc27GXpf02"/>
    <n v="0.69399999999999995"/>
    <n v="0.44900000000000001"/>
    <n v="-11.49"/>
    <n v="3.0099999999999998E-2"/>
    <n v="0.91400000000000003"/>
    <n v="1.26E-4"/>
    <n v="0.1"/>
    <n v="0.36299999999999999"/>
  </r>
  <r>
    <s v="august - the long pond studio sessions"/>
    <s v="4MGexoZc12lqE0hYkq9YYx"/>
    <n v="260000"/>
    <b v="0"/>
    <n v="8"/>
    <s v="0PZ7lAru5FDFHuirTkWe9Z"/>
    <x v="12"/>
    <d v="2020-11-25T00:00:00"/>
    <n v="34"/>
    <s v="album"/>
    <s v="Taylor Swift"/>
    <s v="06HL4z0CvFAxyc27GXpf02"/>
    <n v="0.55400000000000005"/>
    <n v="0.66300000000000003"/>
    <n v="-8.9610000000000003"/>
    <n v="3.2399999999999998E-2"/>
    <n v="0.5"/>
    <n v="4.7700000000000001E-5"/>
    <n v="0.79100000000000004"/>
    <n v="0.54500000000000004"/>
  </r>
  <r>
    <s v="this is me trying - the long pond studio sessions"/>
    <s v="1gaLZjPrDnHQWJds2Jg4KT"/>
    <n v="209293"/>
    <b v="0"/>
    <n v="9"/>
    <s v="0PZ7lAru5FDFHuirTkWe9Z"/>
    <x v="12"/>
    <d v="2020-11-25T00:00:00"/>
    <n v="34"/>
    <s v="album"/>
    <s v="Taylor Swift"/>
    <s v="06HL4z0CvFAxyc27GXpf02"/>
    <n v="0.435"/>
    <n v="0.33200000000000002"/>
    <n v="-11.611000000000001"/>
    <n v="3.1E-2"/>
    <n v="0.92800000000000005"/>
    <n v="8.9800000000000004E-4"/>
    <n v="8.6699999999999999E-2"/>
    <n v="0.157"/>
  </r>
  <r>
    <s v="illicit affairs - the long pond studio sessions"/>
    <s v="560uQyz3p5G9WdnMX39xc6"/>
    <n v="183720"/>
    <b v="0"/>
    <n v="10"/>
    <s v="0PZ7lAru5FDFHuirTkWe9Z"/>
    <x v="12"/>
    <d v="2020-11-25T00:00:00"/>
    <n v="34"/>
    <s v="album"/>
    <s v="Taylor Swift"/>
    <s v="06HL4z0CvFAxyc27GXpf02"/>
    <n v="0.48899999999999999"/>
    <n v="0.23499999999999999"/>
    <n v="-10.273999999999999"/>
    <n v="3.56E-2"/>
    <n v="0.88300000000000001"/>
    <n v="0"/>
    <n v="0.113"/>
    <n v="0.435"/>
  </r>
  <r>
    <s v="invisible string - the long pond studio sessions"/>
    <s v="5KByGq0JijSSDcy0qzuINs"/>
    <n v="257359"/>
    <b v="0"/>
    <n v="11"/>
    <s v="0PZ7lAru5FDFHuirTkWe9Z"/>
    <x v="12"/>
    <d v="2020-11-25T00:00:00"/>
    <n v="34"/>
    <s v="album"/>
    <s v="Taylor Swift"/>
    <s v="06HL4z0CvFAxyc27GXpf02"/>
    <n v="0.59"/>
    <n v="0.28199999999999997"/>
    <n v="-10.542"/>
    <n v="2.81E-2"/>
    <n v="0.94199999999999995"/>
    <n v="4.8500000000000002E-6"/>
    <n v="0.11"/>
    <n v="0.35099999999999998"/>
  </r>
  <r>
    <s v="mad woman - the long pond studio sessions"/>
    <s v="04xrhDrQ2WOW8GLwu7kbc0"/>
    <n v="238333"/>
    <b v="1"/>
    <n v="12"/>
    <s v="0PZ7lAru5FDFHuirTkWe9Z"/>
    <x v="12"/>
    <d v="2020-11-25T00:00:00"/>
    <n v="34"/>
    <s v="album"/>
    <s v="Taylor Swift"/>
    <s v="06HL4z0CvFAxyc27GXpf02"/>
    <n v="0.66300000000000003"/>
    <n v="0.46500000000000002"/>
    <n v="-10.462999999999999"/>
    <n v="4.0800000000000003E-2"/>
    <n v="0.88700000000000001"/>
    <n v="1.6799999999999999E-4"/>
    <n v="0.109"/>
    <n v="0.34599999999999997"/>
  </r>
  <r>
    <s v="epiphany - the long pond studio sessions"/>
    <s v="4yyKppX85ZkmlGOC2toBZA"/>
    <n v="274880"/>
    <b v="0"/>
    <n v="13"/>
    <s v="0PZ7lAru5FDFHuirTkWe9Z"/>
    <x v="12"/>
    <d v="2020-11-25T00:00:00"/>
    <n v="34"/>
    <s v="album"/>
    <s v="Taylor Swift"/>
    <s v="06HL4z0CvFAxyc27GXpf02"/>
    <n v="0.52400000000000002"/>
    <n v="0.2"/>
    <n v="-13.004"/>
    <n v="2.7400000000000001E-2"/>
    <n v="0.91600000000000004"/>
    <n v="3.9199999999999999E-4"/>
    <n v="6.8000000000000005E-2"/>
    <n v="0.113"/>
  </r>
  <r>
    <s v="betty - the long pond studio sessions"/>
    <s v="1mh5dObNoOvCfHmXnhvDEK"/>
    <n v="290040"/>
    <b v="1"/>
    <n v="14"/>
    <s v="0PZ7lAru5FDFHuirTkWe9Z"/>
    <x v="12"/>
    <d v="2020-11-25T00:00:00"/>
    <n v="34"/>
    <s v="album"/>
    <s v="Taylor Swift"/>
    <s v="06HL4z0CvFAxyc27GXpf02"/>
    <n v="0.53800000000000003"/>
    <n v="0.316"/>
    <n v="-9.5"/>
    <n v="2.9899999999999999E-2"/>
    <n v="0.84099999999999997"/>
    <n v="0"/>
    <n v="0.11899999999999999"/>
    <n v="0.51800000000000002"/>
  </r>
  <r>
    <s v="peace - the long pond studio sessions"/>
    <s v="4YHHz3VIXgNDGdoL9xC1tx"/>
    <n v="214373"/>
    <b v="1"/>
    <n v="15"/>
    <s v="0PZ7lAru5FDFHuirTkWe9Z"/>
    <x v="12"/>
    <d v="2020-11-25T00:00:00"/>
    <n v="34"/>
    <s v="album"/>
    <s v="Taylor Swift"/>
    <s v="06HL4z0CvFAxyc27GXpf02"/>
    <n v="0.61899999999999999"/>
    <n v="0.34399999999999997"/>
    <n v="-11.472"/>
    <n v="6.4699999999999994E-2"/>
    <n v="0.93"/>
    <n v="7.6100000000000007E-5"/>
    <n v="7.3400000000000007E-2"/>
    <n v="0.51300000000000001"/>
  </r>
  <r>
    <s v="hoax - the long pond studio sessions"/>
    <s v="0QTBsdoJhamY3Aid3fOsOd"/>
    <n v="221800"/>
    <b v="0"/>
    <n v="16"/>
    <s v="0PZ7lAru5FDFHuirTkWe9Z"/>
    <x v="12"/>
    <d v="2020-11-25T00:00:00"/>
    <n v="34"/>
    <s v="album"/>
    <s v="Taylor Swift"/>
    <s v="06HL4z0CvFAxyc27GXpf02"/>
    <n v="0.68200000000000005"/>
    <n v="0.155"/>
    <n v="-13.083"/>
    <n v="3.9399999999999998E-2"/>
    <n v="0.96199999999999997"/>
    <n v="0"/>
    <n v="0.18"/>
    <n v="0.48299999999999998"/>
  </r>
  <r>
    <s v="the lakes - the long pond studio sessions"/>
    <s v="6mqyTq948oap5AkyTsd6XF"/>
    <n v="199733"/>
    <b v="0"/>
    <n v="17"/>
    <s v="0PZ7lAru5FDFHuirTkWe9Z"/>
    <x v="12"/>
    <d v="2020-11-25T00:00:00"/>
    <n v="34"/>
    <s v="album"/>
    <s v="Taylor Swift"/>
    <s v="06HL4z0CvFAxyc27GXpf02"/>
    <n v="0.60599999999999998"/>
    <n v="0.221"/>
    <n v="-11.766999999999999"/>
    <n v="4.6800000000000001E-2"/>
    <n v="0.79400000000000004"/>
    <n v="0"/>
    <n v="8.8800000000000004E-2"/>
    <n v="0.112"/>
  </r>
  <r>
    <s v="the 1"/>
    <s v="4pfrrhvplbJZAIsfosGWQP"/>
    <n v="210240"/>
    <b v="1"/>
    <n v="1"/>
    <s v="1pzvBxYgT6OVwJLtHkrdQK"/>
    <x v="13"/>
    <d v="2020-08-18T00:00:00"/>
    <n v="17"/>
    <s v="album"/>
    <s v="Taylor Swift"/>
    <s v="06HL4z0CvFAxyc27GXpf02"/>
    <n v="0.78"/>
    <n v="0.36099999999999999"/>
    <n v="-6.9420000000000002"/>
    <n v="4.8000000000000001E-2"/>
    <n v="0.75"/>
    <n v="7.1400000000000002E-6"/>
    <n v="0.108"/>
    <n v="0.16300000000000001"/>
  </r>
  <r>
    <s v="cardigan"/>
    <s v="0KRYCBwIpWYFNrXOmXbyUh"/>
    <n v="239560"/>
    <b v="0"/>
    <n v="2"/>
    <s v="1pzvBxYgT6OVwJLtHkrdQK"/>
    <x v="13"/>
    <d v="2020-08-18T00:00:00"/>
    <n v="17"/>
    <s v="album"/>
    <s v="Taylor Swift"/>
    <s v="06HL4z0CvFAxyc27GXpf02"/>
    <n v="0.61199999999999999"/>
    <n v="0.57999999999999996"/>
    <n v="-8.5719999999999992"/>
    <n v="4.19E-2"/>
    <n v="0.52500000000000002"/>
    <n v="4.1399999999999998E-4"/>
    <n v="0.26"/>
    <n v="0.53400000000000003"/>
  </r>
  <r>
    <s v="the last great american dynasty"/>
    <s v="2olxzvoFI9IpxqFeUv7WOX"/>
    <n v="231000"/>
    <b v="1"/>
    <n v="3"/>
    <s v="1pzvBxYgT6OVwJLtHkrdQK"/>
    <x v="13"/>
    <d v="2020-08-18T00:00:00"/>
    <n v="17"/>
    <s v="album"/>
    <s v="Taylor Swift"/>
    <s v="06HL4z0CvFAxyc27GXpf02"/>
    <n v="0.68799999999999994"/>
    <n v="0.65300000000000002"/>
    <n v="-8.5579999999999998"/>
    <n v="4.0300000000000002E-2"/>
    <n v="0.48099999999999998"/>
    <n v="4.1399999999999996E-3"/>
    <n v="0.106"/>
    <n v="0.70099999999999996"/>
  </r>
  <r>
    <s v="exile (feat. Bon Iver)"/>
    <s v="5S4aYQAJOwJMAamANWlICO"/>
    <n v="285640"/>
    <b v="0"/>
    <n v="4"/>
    <s v="1pzvBxYgT6OVwJLtHkrdQK"/>
    <x v="13"/>
    <d v="2020-08-18T00:00:00"/>
    <n v="17"/>
    <s v="album"/>
    <s v="Taylor Swift"/>
    <s v="06HL4z0CvFAxyc27GXpf02"/>
    <n v="0.31"/>
    <n v="0.374"/>
    <n v="-8.4640000000000004"/>
    <n v="2.75E-2"/>
    <n v="0.76100000000000001"/>
    <n v="2.4600000000000002E-5"/>
    <n v="0.11"/>
    <n v="0.16"/>
  </r>
  <r>
    <s v="my tears ricochet"/>
    <s v="5P2bHCDM2tsgIaYWsZMhu5"/>
    <n v="255893"/>
    <b v="0"/>
    <n v="5"/>
    <s v="1pzvBxYgT6OVwJLtHkrdQK"/>
    <x v="13"/>
    <d v="2020-08-18T00:00:00"/>
    <n v="17"/>
    <s v="album"/>
    <s v="Taylor Swift"/>
    <s v="06HL4z0CvFAxyc27GXpf02"/>
    <n v="0.45600000000000002"/>
    <n v="0.26500000000000001"/>
    <n v="-10.663"/>
    <n v="3.2800000000000003E-2"/>
    <n v="0.81399999999999995"/>
    <n v="0"/>
    <n v="6.7900000000000002E-2"/>
    <n v="0.112"/>
  </r>
  <r>
    <s v="mirrorball"/>
    <s v="2I8YAEA1VmCuP1wkJHMpTw"/>
    <n v="208973"/>
    <b v="0"/>
    <n v="6"/>
    <s v="1pzvBxYgT6OVwJLtHkrdQK"/>
    <x v="13"/>
    <d v="2020-08-18T00:00:00"/>
    <n v="17"/>
    <s v="album"/>
    <s v="Taylor Swift"/>
    <s v="06HL4z0CvFAxyc27GXpf02"/>
    <n v="0.54900000000000004"/>
    <n v="0.41699999999999998"/>
    <n v="-10.064"/>
    <n v="3.5000000000000003E-2"/>
    <n v="0.68600000000000005"/>
    <n v="1.9E-6"/>
    <n v="6.0400000000000002E-2"/>
    <n v="0.34699999999999998"/>
  </r>
  <r>
    <s v="seven"/>
    <s v="76mOLcXOjOEhyY4mMF1l3r"/>
    <n v="208906"/>
    <b v="0"/>
    <n v="7"/>
    <s v="1pzvBxYgT6OVwJLtHkrdQK"/>
    <x v="13"/>
    <d v="2020-08-18T00:00:00"/>
    <n v="17"/>
    <s v="album"/>
    <s v="Taylor Swift"/>
    <s v="06HL4z0CvFAxyc27GXpf02"/>
    <n v="0.60199999999999998"/>
    <n v="0.49399999999999999"/>
    <n v="-10.813000000000001"/>
    <n v="2.7699999999999999E-2"/>
    <n v="0.88800000000000001"/>
    <n v="2.5899999999999999E-5"/>
    <n v="9.0200000000000002E-2"/>
    <n v="0.374"/>
  </r>
  <r>
    <s v="august"/>
    <s v="6nK2pIKFcRc5frrZKHgsiT"/>
    <n v="261920"/>
    <b v="0"/>
    <n v="8"/>
    <s v="1pzvBxYgT6OVwJLtHkrdQK"/>
    <x v="13"/>
    <d v="2020-08-18T00:00:00"/>
    <n v="17"/>
    <s v="album"/>
    <s v="Taylor Swift"/>
    <s v="06HL4z0CvFAxyc27GXpf02"/>
    <n v="0.38700000000000001"/>
    <n v="0.63400000000000001"/>
    <n v="-9.2219999999999995"/>
    <n v="3.6299999999999999E-2"/>
    <n v="0.55300000000000005"/>
    <n v="6.9300000000000004E-5"/>
    <n v="9.3100000000000002E-2"/>
    <n v="0.42"/>
  </r>
  <r>
    <s v="this is me trying"/>
    <s v="7cm50Lw03k6VvRauJtkyTj"/>
    <n v="195106"/>
    <b v="0"/>
    <n v="9"/>
    <s v="1pzvBxYgT6OVwJLtHkrdQK"/>
    <x v="13"/>
    <d v="2020-08-18T00:00:00"/>
    <n v="17"/>
    <s v="album"/>
    <s v="Taylor Swift"/>
    <s v="06HL4z0CvFAxyc27GXpf02"/>
    <n v="0.51100000000000001"/>
    <n v="0.47799999999999998"/>
    <n v="-9.8369999999999997"/>
    <n v="3.2199999999999999E-2"/>
    <n v="0.312"/>
    <n v="2.3E-5"/>
    <n v="0.14699999999999999"/>
    <n v="0.40799999999999997"/>
  </r>
  <r>
    <s v="illicit affairs"/>
    <s v="6DrLROM5MG9bxWHeEG5elq"/>
    <n v="190893"/>
    <b v="0"/>
    <n v="10"/>
    <s v="1pzvBxYgT6OVwJLtHkrdQK"/>
    <x v="13"/>
    <d v="2020-08-18T00:00:00"/>
    <n v="17"/>
    <s v="album"/>
    <s v="Taylor Swift"/>
    <s v="06HL4z0CvFAxyc27GXpf02"/>
    <n v="0.52900000000000003"/>
    <n v="0.30399999999999999"/>
    <n v="-10.567"/>
    <n v="3.56E-2"/>
    <n v="0.86199999999999999"/>
    <n v="0"/>
    <n v="0.108"/>
    <n v="0.44"/>
  </r>
  <r>
    <s v="invisible string"/>
    <s v="2ehRU518I0hYqMGQnk4lDY"/>
    <n v="252880"/>
    <b v="0"/>
    <n v="11"/>
    <s v="1pzvBxYgT6OVwJLtHkrdQK"/>
    <x v="13"/>
    <d v="2020-08-18T00:00:00"/>
    <n v="17"/>
    <s v="album"/>
    <s v="Taylor Swift"/>
    <s v="06HL4z0CvFAxyc27GXpf02"/>
    <n v="0.65100000000000002"/>
    <n v="0.45900000000000002"/>
    <n v="-11.128"/>
    <n v="5.0700000000000002E-2"/>
    <n v="0.85899999999999999"/>
    <n v="6.6299999999999999E-5"/>
    <n v="0.105"/>
    <n v="0.45400000000000001"/>
  </r>
  <r>
    <s v="mad woman"/>
    <s v="0RP1kqoSPkVXsKiQNhMKzV"/>
    <n v="237266"/>
    <b v="1"/>
    <n v="12"/>
    <s v="1pzvBxYgT6OVwJLtHkrdQK"/>
    <x v="13"/>
    <d v="2020-08-18T00:00:00"/>
    <n v="17"/>
    <s v="album"/>
    <s v="Taylor Swift"/>
    <s v="06HL4z0CvFAxyc27GXpf02"/>
    <n v="0.59299999999999997"/>
    <n v="0.7"/>
    <n v="-9.016"/>
    <n v="4.9200000000000001E-2"/>
    <n v="0.67"/>
    <n v="6.7700000000000004E-6"/>
    <n v="0.11600000000000001"/>
    <n v="0.45100000000000001"/>
  </r>
  <r>
    <s v="epiphany"/>
    <s v="1EXa37LpSvi3OQ9UYQ28rD"/>
    <n v="289746"/>
    <b v="0"/>
    <n v="13"/>
    <s v="1pzvBxYgT6OVwJLtHkrdQK"/>
    <x v="13"/>
    <d v="2020-08-18T00:00:00"/>
    <n v="17"/>
    <s v="album"/>
    <s v="Taylor Swift"/>
    <s v="06HL4z0CvFAxyc27GXpf02"/>
    <n v="0.317"/>
    <n v="0.254"/>
    <n v="-13.679"/>
    <n v="2.86E-2"/>
    <n v="0.72699999999999998"/>
    <n v="3.2600000000000001E-4"/>
    <n v="8.6699999999999999E-2"/>
    <n v="0.10299999999999999"/>
  </r>
  <r>
    <s v="betty"/>
    <s v="3IhtE4fkytdrtEfV34UzkD"/>
    <n v="294520"/>
    <b v="1"/>
    <n v="14"/>
    <s v="1pzvBxYgT6OVwJLtHkrdQK"/>
    <x v="13"/>
    <d v="2020-08-18T00:00:00"/>
    <n v="17"/>
    <s v="album"/>
    <s v="Taylor Swift"/>
    <s v="06HL4z0CvFAxyc27GXpf02"/>
    <n v="0.59499999999999997"/>
    <n v="0.376"/>
    <n v="-8.7669999999999995"/>
    <n v="2.5600000000000001E-2"/>
    <n v="0.58899999999999997"/>
    <n v="0"/>
    <n v="9.8900000000000002E-2"/>
    <n v="0.47599999999999998"/>
  </r>
  <r>
    <s v="peace"/>
    <s v="6JlI8Ay77m4nJvZTHvfT1J"/>
    <n v="234000"/>
    <b v="1"/>
    <n v="15"/>
    <s v="1pzvBxYgT6OVwJLtHkrdQK"/>
    <x v="13"/>
    <d v="2020-08-18T00:00:00"/>
    <n v="17"/>
    <s v="album"/>
    <s v="Taylor Swift"/>
    <s v="06HL4z0CvFAxyc27GXpf02"/>
    <n v="0.64400000000000002"/>
    <n v="0.28399999999999997"/>
    <n v="-12.879"/>
    <n v="8.2100000000000006E-2"/>
    <n v="0.91600000000000004"/>
    <n v="1.5E-5"/>
    <n v="9.0899999999999995E-2"/>
    <n v="0.32800000000000001"/>
  </r>
  <r>
    <s v="hoax"/>
    <s v="0YeDG5HnKnG7jpArkzsSPa"/>
    <n v="220040"/>
    <b v="0"/>
    <n v="16"/>
    <s v="1pzvBxYgT6OVwJLtHkrdQK"/>
    <x v="13"/>
    <d v="2020-08-18T00:00:00"/>
    <n v="17"/>
    <s v="album"/>
    <s v="Taylor Swift"/>
    <s v="06HL4z0CvFAxyc27GXpf02"/>
    <n v="0.67600000000000005"/>
    <n v="0.17799999999999999"/>
    <n v="-15.01"/>
    <n v="3.9399999999999998E-2"/>
    <n v="0.96399999999999997"/>
    <n v="7.9000000000000006E-6"/>
    <n v="0.13500000000000001"/>
    <n v="0.40400000000000003"/>
  </r>
  <r>
    <s v="the lakes - bonus track"/>
    <s v="0eFQWVz0qIxDOvhLpZ40P7"/>
    <n v="211813"/>
    <b v="0"/>
    <n v="17"/>
    <s v="1pzvBxYgT6OVwJLtHkrdQK"/>
    <x v="13"/>
    <d v="2020-08-18T00:00:00"/>
    <n v="17"/>
    <s v="album"/>
    <s v="Taylor Swift"/>
    <s v="06HL4z0CvFAxyc27GXpf02"/>
    <n v="0.313"/>
    <n v="0.25800000000000001"/>
    <n v="-11.532"/>
    <n v="3.8300000000000001E-2"/>
    <n v="0.84199999999999997"/>
    <n v="1.3E-6"/>
    <n v="9.4799999999999995E-2"/>
    <n v="0.26800000000000002"/>
  </r>
  <r>
    <s v="the 1"/>
    <s v="0Jlcvv8IykzHaSmj49uNW8"/>
    <n v="210251"/>
    <b v="1"/>
    <n v="1"/>
    <s v="2fenSS68JI1h4Fo296JfGr"/>
    <x v="14"/>
    <d v="2020-07-24T00:00:00"/>
    <n v="16"/>
    <s v="album"/>
    <s v="Taylor Swift"/>
    <s v="06HL4z0CvFAxyc27GXpf02"/>
    <n v="0.77700000000000002"/>
    <n v="0.35699999999999998"/>
    <n v="-6.9420000000000002"/>
    <n v="5.2200000000000003E-2"/>
    <n v="0.75700000000000001"/>
    <n v="7.2799999999999998E-6"/>
    <n v="0.108"/>
    <n v="0.17199999999999999"/>
  </r>
  <r>
    <s v="cardigan"/>
    <s v="4R2kfaDFhslZEMJqAFNpdd"/>
    <n v="239560"/>
    <b v="0"/>
    <n v="2"/>
    <s v="2fenSS68JI1h4Fo296JfGr"/>
    <x v="14"/>
    <d v="2020-07-24T00:00:00"/>
    <n v="16"/>
    <s v="album"/>
    <s v="Taylor Swift"/>
    <s v="06HL4z0CvFAxyc27GXpf02"/>
    <n v="0.61299999999999999"/>
    <n v="0.58099999999999996"/>
    <n v="-8.5879999999999992"/>
    <n v="4.24E-2"/>
    <n v="0.53700000000000003"/>
    <n v="3.4499999999999998E-4"/>
    <n v="0.25"/>
    <n v="0.55100000000000005"/>
  </r>
  <r>
    <s v="the last great american dynasty"/>
    <s v="2Eeur20xVqfUoM3Q7EFPFt"/>
    <n v="230999"/>
    <b v="1"/>
    <n v="3"/>
    <s v="2fenSS68JI1h4Fo296JfGr"/>
    <x v="14"/>
    <d v="2020-07-24T00:00:00"/>
    <n v="16"/>
    <s v="album"/>
    <s v="Taylor Swift"/>
    <s v="06HL4z0CvFAxyc27GXpf02"/>
    <n v="0.68600000000000005"/>
    <n v="0.66200000000000003"/>
    <n v="-8.5050000000000008"/>
    <n v="4.1300000000000003E-2"/>
    <n v="0.46700000000000003"/>
    <n v="2.3E-3"/>
    <n v="0.109"/>
    <n v="0.70599999999999996"/>
  </r>
  <r>
    <s v="exile (feat. Bon Iver)"/>
    <s v="4pvb0WLRcMtbPGmtejJJ6y"/>
    <n v="285634"/>
    <b v="0"/>
    <n v="4"/>
    <s v="2fenSS68JI1h4Fo296JfGr"/>
    <x v="14"/>
    <d v="2020-07-24T00:00:00"/>
    <n v="16"/>
    <s v="album"/>
    <s v="Taylor Swift"/>
    <s v="06HL4z0CvFAxyc27GXpf02"/>
    <n v="0.29799999999999999"/>
    <n v="0.38"/>
    <n v="-8.4260000000000002"/>
    <n v="2.87E-2"/>
    <n v="0.77800000000000002"/>
    <n v="5.6199999999999997E-5"/>
    <n v="0.11"/>
    <n v="0.152"/>
  </r>
  <r>
    <s v="my tears ricochet"/>
    <s v="1MgV7FIyNxIG7WzMRJV5HC"/>
    <n v="255893"/>
    <b v="0"/>
    <n v="5"/>
    <s v="2fenSS68JI1h4Fo296JfGr"/>
    <x v="14"/>
    <d v="2020-07-24T00:00:00"/>
    <n v="16"/>
    <s v="album"/>
    <s v="Taylor Swift"/>
    <s v="06HL4z0CvFAxyc27GXpf02"/>
    <n v="0.46899999999999997"/>
    <n v="0.26300000000000001"/>
    <n v="-10.63"/>
    <n v="3.2899999999999999E-2"/>
    <n v="0.80600000000000005"/>
    <n v="0"/>
    <n v="7.4899999999999994E-2"/>
    <n v="0.112"/>
  </r>
  <r>
    <s v="mirrorball"/>
    <s v="0ZNU020wNYvgW84iljPkPP"/>
    <n v="208977"/>
    <b v="0"/>
    <n v="6"/>
    <s v="2fenSS68JI1h4Fo296JfGr"/>
    <x v="14"/>
    <d v="2020-07-24T00:00:00"/>
    <n v="16"/>
    <s v="album"/>
    <s v="Taylor Swift"/>
    <s v="06HL4z0CvFAxyc27GXpf02"/>
    <n v="0.55300000000000005"/>
    <n v="0.41299999999999998"/>
    <n v="-10.037000000000001"/>
    <n v="3.3399999999999999E-2"/>
    <n v="0.68700000000000006"/>
    <n v="2.3300000000000001E-6"/>
    <n v="5.9400000000000001E-2"/>
    <n v="0.379"/>
  </r>
  <r>
    <s v="seven"/>
    <s v="6KJqZcs9XDgVck7Lg9QOTC"/>
    <n v="208906"/>
    <b v="0"/>
    <n v="7"/>
    <s v="2fenSS68JI1h4Fo296JfGr"/>
    <x v="14"/>
    <d v="2020-07-24T00:00:00"/>
    <n v="16"/>
    <s v="album"/>
    <s v="Taylor Swift"/>
    <s v="06HL4z0CvFAxyc27GXpf02"/>
    <n v="0.59599999999999997"/>
    <n v="0.48799999999999999"/>
    <n v="-10.769"/>
    <n v="2.7400000000000001E-2"/>
    <n v="0.9"/>
    <n v="2.6999999999999999E-5"/>
    <n v="9.0999999999999998E-2"/>
    <n v="0.41499999999999998"/>
  </r>
  <r>
    <s v="august"/>
    <s v="3hUxzQpSfdDqwM3ZTFQY0K"/>
    <n v="261922"/>
    <b v="0"/>
    <n v="8"/>
    <s v="2fenSS68JI1h4Fo296JfGr"/>
    <x v="14"/>
    <d v="2020-07-24T00:00:00"/>
    <n v="16"/>
    <s v="album"/>
    <s v="Taylor Swift"/>
    <s v="06HL4z0CvFAxyc27GXpf02"/>
    <n v="0.53200000000000003"/>
    <n v="0.623"/>
    <n v="-9.2080000000000002"/>
    <n v="3.3099999999999997E-2"/>
    <n v="0.53800000000000003"/>
    <n v="7.2799999999999994E-5"/>
    <n v="9.2499999999999999E-2"/>
    <n v="0.40300000000000002"/>
  </r>
  <r>
    <s v="this is me trying"/>
    <s v="7kt9e9LFSpN1zQtYEl19o1"/>
    <n v="195097"/>
    <b v="0"/>
    <n v="9"/>
    <s v="2fenSS68JI1h4Fo296JfGr"/>
    <x v="14"/>
    <d v="2020-07-24T00:00:00"/>
    <n v="16"/>
    <s v="album"/>
    <s v="Taylor Swift"/>
    <s v="06HL4z0CvFAxyc27GXpf02"/>
    <n v="0.51500000000000001"/>
    <n v="0.47599999999999998"/>
    <n v="-9.843"/>
    <n v="3.2800000000000003E-2"/>
    <n v="0.314"/>
    <n v="4.74E-5"/>
    <n v="0.17100000000000001"/>
    <n v="0.41199999999999998"/>
  </r>
  <r>
    <s v="illicit affairs"/>
    <s v="2NmsngXHeC1GQ9wWrzhOMf"/>
    <n v="190898"/>
    <b v="0"/>
    <n v="10"/>
    <s v="2fenSS68JI1h4Fo296JfGr"/>
    <x v="14"/>
    <d v="2020-07-24T00:00:00"/>
    <n v="16"/>
    <s v="album"/>
    <s v="Taylor Swift"/>
    <s v="06HL4z0CvFAxyc27GXpf02"/>
    <n v="0.55900000000000005"/>
    <n v="0.31"/>
    <n v="-10.445"/>
    <n v="3.3799999999999997E-2"/>
    <n v="0.88100000000000001"/>
    <n v="0"/>
    <n v="0.106"/>
    <n v="0.46"/>
  </r>
  <r>
    <s v="invisible string"/>
    <s v="6VsvKPJ4xjVNKpI8VVZ3SV"/>
    <n v="252880"/>
    <b v="0"/>
    <n v="11"/>
    <s v="2fenSS68JI1h4Fo296JfGr"/>
    <x v="14"/>
    <d v="2020-07-24T00:00:00"/>
    <n v="16"/>
    <s v="album"/>
    <s v="Taylor Swift"/>
    <s v="06HL4z0CvFAxyc27GXpf02"/>
    <n v="0.65300000000000002"/>
    <n v="0.45200000000000001"/>
    <n v="-11.143000000000001"/>
    <n v="5.5E-2"/>
    <n v="0.83799999999999997"/>
    <n v="7.7299999999999995E-5"/>
    <n v="0.108"/>
    <n v="0.45"/>
  </r>
  <r>
    <s v="mad woman"/>
    <s v="2QDyYdZyhlP2fp79KZX8Bi"/>
    <n v="237258"/>
    <b v="1"/>
    <n v="12"/>
    <s v="2fenSS68JI1h4Fo296JfGr"/>
    <x v="14"/>
    <d v="2020-07-24T00:00:00"/>
    <n v="16"/>
    <s v="album"/>
    <s v="Taylor Swift"/>
    <s v="06HL4z0CvFAxyc27GXpf02"/>
    <n v="0.59199999999999997"/>
    <n v="0.69899999999999995"/>
    <n v="-8.9949999999999992"/>
    <n v="4.7100000000000003E-2"/>
    <n v="0.65500000000000003"/>
    <n v="1.6799999999999998E-5"/>
    <n v="0.114"/>
    <n v="0.50600000000000001"/>
  </r>
  <r>
    <s v="epiphany"/>
    <s v="08fa9LFcFBTcilB3iq2e2A"/>
    <n v="289749"/>
    <b v="0"/>
    <n v="13"/>
    <s v="2fenSS68JI1h4Fo296JfGr"/>
    <x v="14"/>
    <d v="2020-07-24T00:00:00"/>
    <n v="16"/>
    <s v="album"/>
    <s v="Taylor Swift"/>
    <s v="06HL4z0CvFAxyc27GXpf02"/>
    <n v="0.17499999999999999"/>
    <n v="0.26700000000000002"/>
    <n v="-13.69"/>
    <n v="3.0200000000000001E-2"/>
    <n v="0.73099999999999998"/>
    <n v="4.0200000000000001E-4"/>
    <n v="8.5800000000000001E-2"/>
    <n v="0.106"/>
  </r>
  <r>
    <s v="betty"/>
    <s v="5kI4eCXXzyuIUXjQra0Cxi"/>
    <n v="294521"/>
    <b v="1"/>
    <n v="14"/>
    <s v="2fenSS68JI1h4Fo296JfGr"/>
    <x v="14"/>
    <d v="2020-07-24T00:00:00"/>
    <n v="16"/>
    <s v="album"/>
    <s v="Taylor Swift"/>
    <s v="06HL4z0CvFAxyc27GXpf02"/>
    <n v="0.59299999999999997"/>
    <n v="0.377"/>
    <n v="-8.7609999999999992"/>
    <n v="2.53E-2"/>
    <n v="0.6"/>
    <n v="0"/>
    <n v="9.7600000000000006E-2"/>
    <n v="0.502"/>
  </r>
  <r>
    <s v="peace"/>
    <s v="7MbT4I8qGntX4fMdqMQgke"/>
    <n v="234000"/>
    <b v="1"/>
    <n v="15"/>
    <s v="2fenSS68JI1h4Fo296JfGr"/>
    <x v="14"/>
    <d v="2020-07-24T00:00:00"/>
    <n v="16"/>
    <s v="album"/>
    <s v="Taylor Swift"/>
    <s v="06HL4z0CvFAxyc27GXpf02"/>
    <n v="0.64700000000000002"/>
    <n v="0.27200000000000002"/>
    <n v="-12.906000000000001"/>
    <n v="9.1600000000000001E-2"/>
    <n v="0.91800000000000004"/>
    <n v="1.73E-5"/>
    <n v="9.1800000000000007E-2"/>
    <n v="0.33900000000000002"/>
  </r>
  <r>
    <s v="hoax"/>
    <s v="6MWoRt97mnSTXZhu3ggi9C"/>
    <n v="220042"/>
    <b v="0"/>
    <n v="16"/>
    <s v="2fenSS68JI1h4Fo296JfGr"/>
    <x v="14"/>
    <d v="2020-07-24T00:00:00"/>
    <n v="16"/>
    <s v="album"/>
    <s v="Taylor Swift"/>
    <s v="06HL4z0CvFAxyc27GXpf02"/>
    <n v="0.66200000000000003"/>
    <n v="0.18099999999999999"/>
    <n v="-15.065"/>
    <n v="4.1500000000000002E-2"/>
    <n v="0.96599999999999997"/>
    <n v="3.8600000000000003E-6"/>
    <n v="0.13300000000000001"/>
    <n v="0.42899999999999999"/>
  </r>
  <r>
    <s v="I Forgot That You Existed"/>
    <s v="43rA71bccXFGD4C8GOpIlN"/>
    <n v="170640"/>
    <b v="0"/>
    <n v="1"/>
    <s v="1NAmidJlEaVgA3MpcPFYGq"/>
    <x v="15"/>
    <d v="2019-08-23T00:00:00"/>
    <n v="18"/>
    <s v="album"/>
    <s v="Taylor Swift"/>
    <s v="06HL4z0CvFAxyc27GXpf02"/>
    <n v="0.66400000000000003"/>
    <n v="0.316"/>
    <n v="-10.345000000000001"/>
    <n v="0.51900000000000002"/>
    <n v="0.29799999999999999"/>
    <n v="2.03E-6"/>
    <n v="8.1199999999999994E-2"/>
    <n v="0.54100000000000004"/>
  </r>
  <r>
    <s v="Cruel Summer"/>
    <s v="1BxfuPKGuaTgP7aM0Bbdwr"/>
    <n v="178426"/>
    <b v="0"/>
    <n v="2"/>
    <s v="1NAmidJlEaVgA3MpcPFYGq"/>
    <x v="15"/>
    <d v="2019-08-23T00:00:00"/>
    <n v="18"/>
    <s v="album"/>
    <s v="Taylor Swift"/>
    <s v="06HL4z0CvFAxyc27GXpf02"/>
    <n v="0.55200000000000005"/>
    <n v="0.70199999999999996"/>
    <n v="-5.7069999999999999"/>
    <n v="0.157"/>
    <n v="0.11700000000000001"/>
    <n v="2.0599999999999999E-5"/>
    <n v="0.105"/>
    <n v="0.56399999999999995"/>
  </r>
  <r>
    <s v="Lover"/>
    <s v="1dGr1c8CrMLDpV6mPbImSI"/>
    <n v="221306"/>
    <b v="0"/>
    <n v="3"/>
    <s v="1NAmidJlEaVgA3MpcPFYGq"/>
    <x v="15"/>
    <d v="2019-08-23T00:00:00"/>
    <n v="18"/>
    <s v="album"/>
    <s v="Taylor Swift"/>
    <s v="06HL4z0CvFAxyc27GXpf02"/>
    <n v="0.35899999999999999"/>
    <n v="0.54300000000000004"/>
    <n v="-7.5819999999999999"/>
    <n v="9.1899999999999996E-2"/>
    <n v="0.49199999999999999"/>
    <n v="1.5800000000000001E-5"/>
    <n v="0.11799999999999999"/>
    <n v="0.45300000000000001"/>
  </r>
  <r>
    <s v="The Man"/>
    <s v="3RauEVgRgj1IuWdJ9fDs70"/>
    <n v="190360"/>
    <b v="0"/>
    <n v="4"/>
    <s v="1NAmidJlEaVgA3MpcPFYGq"/>
    <x v="15"/>
    <d v="2019-08-23T00:00:00"/>
    <n v="18"/>
    <s v="album"/>
    <s v="Taylor Swift"/>
    <s v="06HL4z0CvFAxyc27GXpf02"/>
    <n v="0.77700000000000002"/>
    <n v="0.65800000000000003"/>
    <n v="-5.1909999999999998"/>
    <n v="5.3999999999999999E-2"/>
    <n v="7.6700000000000004E-2"/>
    <n v="0"/>
    <n v="9.01E-2"/>
    <n v="0.63300000000000001"/>
  </r>
  <r>
    <s v="The Archer"/>
    <s v="3pHkh7d0lzM2AldUtz2x37"/>
    <n v="211240"/>
    <b v="0"/>
    <n v="5"/>
    <s v="1NAmidJlEaVgA3MpcPFYGq"/>
    <x v="15"/>
    <d v="2019-08-23T00:00:00"/>
    <n v="18"/>
    <s v="album"/>
    <s v="Taylor Swift"/>
    <s v="06HL4z0CvFAxyc27GXpf02"/>
    <n v="0.29199999999999998"/>
    <n v="0.57399999999999995"/>
    <n v="-9.375"/>
    <n v="4.0099999999999997E-2"/>
    <n v="0.12"/>
    <n v="5.6899999999999997E-3"/>
    <n v="6.6299999999999998E-2"/>
    <n v="0.16600000000000001"/>
  </r>
  <r>
    <s v="I Think He Knows"/>
    <s v="2YWtcWi3a83pdEg3Gif4Pd"/>
    <n v="173386"/>
    <b v="0"/>
    <n v="6"/>
    <s v="1NAmidJlEaVgA3MpcPFYGq"/>
    <x v="15"/>
    <d v="2019-08-23T00:00:00"/>
    <n v="18"/>
    <s v="album"/>
    <s v="Taylor Swift"/>
    <s v="06HL4z0CvFAxyc27GXpf02"/>
    <n v="0.89700000000000002"/>
    <n v="0.36599999999999999"/>
    <n v="-8.0289999999999999"/>
    <n v="5.6899999999999999E-2"/>
    <n v="8.8900000000000003E-3"/>
    <n v="3.5300000000000002E-4"/>
    <n v="7.1499999999999994E-2"/>
    <n v="0.41599999999999998"/>
  </r>
  <r>
    <s v="Miss Americana &amp; The Heartbreak Prince"/>
    <s v="214nt20w5wOxJnY462klLw"/>
    <n v="234146"/>
    <b v="0"/>
    <n v="7"/>
    <s v="1NAmidJlEaVgA3MpcPFYGq"/>
    <x v="15"/>
    <d v="2019-08-23T00:00:00"/>
    <n v="18"/>
    <s v="album"/>
    <s v="Taylor Swift"/>
    <s v="06HL4z0CvFAxyc27GXpf02"/>
    <n v="0.66200000000000003"/>
    <n v="0.747"/>
    <n v="-6.9260000000000002"/>
    <n v="7.3599999999999999E-2"/>
    <n v="2.8000000000000001E-2"/>
    <n v="6.1500000000000001E-3"/>
    <n v="0.13800000000000001"/>
    <n v="0.48699999999999999"/>
  </r>
  <r>
    <s v="Paper Rings"/>
    <s v="4y5bvROuBDPr5fuwXbIBZR"/>
    <n v="222400"/>
    <b v="0"/>
    <n v="8"/>
    <s v="1NAmidJlEaVgA3MpcPFYGq"/>
    <x v="15"/>
    <d v="2019-08-23T00:00:00"/>
    <n v="18"/>
    <s v="album"/>
    <s v="Taylor Swift"/>
    <s v="06HL4z0CvFAxyc27GXpf02"/>
    <n v="0.81100000000000005"/>
    <n v="0.71899999999999997"/>
    <n v="-6.5529999999999999"/>
    <n v="4.9700000000000001E-2"/>
    <n v="1.29E-2"/>
    <n v="1.36E-5"/>
    <n v="7.4200000000000002E-2"/>
    <n v="0.86499999999999999"/>
  </r>
  <r>
    <s v="Cornelia Street"/>
    <s v="12M5uqx0ZuwkpLp5rJim1a"/>
    <n v="287266"/>
    <b v="0"/>
    <n v="9"/>
    <s v="1NAmidJlEaVgA3MpcPFYGq"/>
    <x v="15"/>
    <d v="2019-08-23T00:00:00"/>
    <n v="18"/>
    <s v="album"/>
    <s v="Taylor Swift"/>
    <s v="06HL4z0CvFAxyc27GXpf02"/>
    <n v="0.82399999999999995"/>
    <n v="0.624"/>
    <n v="-9.7279999999999998"/>
    <n v="8.2699999999999996E-2"/>
    <n v="0.78100000000000003"/>
    <n v="1.8900000000000001E-4"/>
    <n v="0.1"/>
    <n v="0.248"/>
  </r>
  <r>
    <s v="Death By A Thousand Cuts"/>
    <s v="2dgFqt3w9xIQRjhPtwNk3D"/>
    <n v="198533"/>
    <b v="0"/>
    <n v="10"/>
    <s v="1NAmidJlEaVgA3MpcPFYGq"/>
    <x v="15"/>
    <d v="2019-08-23T00:00:00"/>
    <n v="18"/>
    <s v="album"/>
    <s v="Taylor Swift"/>
    <s v="06HL4z0CvFAxyc27GXpf02"/>
    <n v="0.71199999999999997"/>
    <n v="0.73199999999999998"/>
    <n v="-6.7539999999999996"/>
    <n v="6.2899999999999998E-2"/>
    <n v="0.45400000000000001"/>
    <n v="0"/>
    <n v="0.31900000000000001"/>
    <n v="0.313"/>
  </r>
  <r>
    <s v="London Boy"/>
    <s v="1LLXZFeAHK9R4xUramtUKw"/>
    <n v="190240"/>
    <b v="0"/>
    <n v="11"/>
    <s v="1NAmidJlEaVgA3MpcPFYGq"/>
    <x v="15"/>
    <d v="2019-08-23T00:00:00"/>
    <n v="18"/>
    <s v="album"/>
    <s v="Taylor Swift"/>
    <s v="06HL4z0CvFAxyc27GXpf02"/>
    <n v="0.69499999999999995"/>
    <n v="0.71"/>
    <n v="-6.6390000000000002"/>
    <n v="0.05"/>
    <n v="2.46E-2"/>
    <n v="1.0399999999999999E-4"/>
    <n v="0.13300000000000001"/>
    <n v="0.55700000000000005"/>
  </r>
  <r>
    <s v="Soon You’ll Get Better (feat. The Chicks)"/>
    <s v="4AYtqFyFbX0Xkc2wtcygTr"/>
    <n v="201586"/>
    <b v="0"/>
    <n v="12"/>
    <s v="1NAmidJlEaVgA3MpcPFYGq"/>
    <x v="15"/>
    <d v="2019-08-23T00:00:00"/>
    <n v="18"/>
    <s v="album"/>
    <s v="Taylor Swift"/>
    <s v="06HL4z0CvFAxyc27GXpf02"/>
    <n v="0.433"/>
    <n v="0.182"/>
    <n v="-12.566000000000001"/>
    <n v="6.4100000000000004E-2"/>
    <n v="0.90700000000000003"/>
    <n v="0"/>
    <n v="0.123"/>
    <n v="0.42099999999999999"/>
  </r>
  <r>
    <s v="False God"/>
    <s v="5hQSXkFgbxjZo9uCwd11so"/>
    <n v="200306"/>
    <b v="0"/>
    <n v="13"/>
    <s v="1NAmidJlEaVgA3MpcPFYGq"/>
    <x v="15"/>
    <d v="2019-08-23T00:00:00"/>
    <n v="18"/>
    <s v="album"/>
    <s v="Taylor Swift"/>
    <s v="06HL4z0CvFAxyc27GXpf02"/>
    <n v="0.73899999999999999"/>
    <n v="0.32"/>
    <n v="-10.862"/>
    <n v="0.23899999999999999"/>
    <n v="0.73599999999999999"/>
    <n v="1.47E-4"/>
    <n v="0.111"/>
    <n v="0.35099999999999998"/>
  </r>
  <r>
    <s v="You Need To Calm Down"/>
    <s v="6RRNNciQGZEXnqk8SQ9yv5"/>
    <n v="171360"/>
    <b v="0"/>
    <n v="14"/>
    <s v="1NAmidJlEaVgA3MpcPFYGq"/>
    <x v="15"/>
    <d v="2019-08-23T00:00:00"/>
    <n v="18"/>
    <s v="album"/>
    <s v="Taylor Swift"/>
    <s v="06HL4z0CvFAxyc27GXpf02"/>
    <n v="0.77100000000000002"/>
    <n v="0.67100000000000004"/>
    <n v="-5.617"/>
    <n v="5.5300000000000002E-2"/>
    <n v="9.2899999999999996E-3"/>
    <n v="0"/>
    <n v="6.3700000000000007E-2"/>
    <n v="0.71399999999999997"/>
  </r>
  <r>
    <s v="Afterglow"/>
    <s v="1SymEzIT3H8UZfibCs3TYi"/>
    <n v="223293"/>
    <b v="0"/>
    <n v="15"/>
    <s v="1NAmidJlEaVgA3MpcPFYGq"/>
    <x v="15"/>
    <d v="2019-08-23T00:00:00"/>
    <n v="18"/>
    <s v="album"/>
    <s v="Taylor Swift"/>
    <s v="06HL4z0CvFAxyc27GXpf02"/>
    <n v="0.75600000000000001"/>
    <n v="0.44900000000000001"/>
    <n v="-8.7460000000000004"/>
    <n v="3.44E-2"/>
    <n v="0.13"/>
    <n v="0"/>
    <n v="0.114"/>
    <n v="0.39900000000000002"/>
  </r>
  <r>
    <s v="ME! (feat. Brendon Urie of Panic! At The Disco)"/>
    <s v="2Rk4JlNc2TPmZe2af99d45"/>
    <n v="193000"/>
    <b v="0"/>
    <n v="16"/>
    <s v="1NAmidJlEaVgA3MpcPFYGq"/>
    <x v="15"/>
    <d v="2019-08-23T00:00:00"/>
    <n v="18"/>
    <s v="album"/>
    <s v="Taylor Swift"/>
    <s v="06HL4z0CvFAxyc27GXpf02"/>
    <n v="0.61"/>
    <n v="0.83"/>
    <n v="-4.1050000000000004"/>
    <n v="5.7099999999999998E-2"/>
    <n v="3.3000000000000002E-2"/>
    <n v="0"/>
    <n v="0.11799999999999999"/>
    <n v="0.72799999999999998"/>
  </r>
  <r>
    <s v="It’s Nice To Have A Friend"/>
    <s v="1SmiQ65iSAbPto6gPFlBYm"/>
    <n v="150440"/>
    <b v="0"/>
    <n v="17"/>
    <s v="1NAmidJlEaVgA3MpcPFYGq"/>
    <x v="15"/>
    <d v="2019-08-23T00:00:00"/>
    <n v="18"/>
    <s v="album"/>
    <s v="Taylor Swift"/>
    <s v="06HL4z0CvFAxyc27GXpf02"/>
    <n v="0.73699999999999999"/>
    <n v="0.17499999999999999"/>
    <n v="-9.9120000000000008"/>
    <n v="4.0099999999999997E-2"/>
    <n v="0.97099999999999997"/>
    <n v="3.3700000000000001E-4"/>
    <n v="0.17100000000000001"/>
    <n v="0.54500000000000004"/>
  </r>
  <r>
    <s v="Daylight"/>
    <s v="1fzAuUVbzlhZ1lJAx9PtY6"/>
    <n v="293453"/>
    <b v="0"/>
    <n v="18"/>
    <s v="1NAmidJlEaVgA3MpcPFYGq"/>
    <x v="15"/>
    <d v="2019-08-23T00:00:00"/>
    <n v="18"/>
    <s v="album"/>
    <s v="Taylor Swift"/>
    <s v="06HL4z0CvFAxyc27GXpf02"/>
    <n v="0.55700000000000005"/>
    <n v="0.496"/>
    <n v="-9.6020000000000003"/>
    <n v="5.6300000000000003E-2"/>
    <n v="0.80800000000000005"/>
    <n v="1.73E-4"/>
    <n v="7.7200000000000005E-2"/>
    <n v="0.26500000000000001"/>
  </r>
  <r>
    <s v="...Ready For It?"/>
    <s v="2yLa0QULdQr0qAIvVwN6B5"/>
    <n v="208186"/>
    <b v="0"/>
    <n v="1"/>
    <s v="6DEjYFkNZh67HP7R9PSZvv"/>
    <x v="16"/>
    <d v="2017-11-10T00:00:00"/>
    <n v="15"/>
    <s v="album"/>
    <s v="Taylor Swift"/>
    <s v="06HL4z0CvFAxyc27GXpf02"/>
    <n v="0.61299999999999999"/>
    <n v="0.76400000000000001"/>
    <n v="-6.5090000000000003"/>
    <n v="0.13600000000000001"/>
    <n v="5.2699999999999997E-2"/>
    <n v="0"/>
    <n v="0.19700000000000001"/>
    <n v="0.41699999999999998"/>
  </r>
  <r>
    <s v="End Game"/>
    <s v="2x0WlnmfG39ZuDmstl9xfX"/>
    <n v="244826"/>
    <b v="0"/>
    <n v="2"/>
    <s v="6DEjYFkNZh67HP7R9PSZvv"/>
    <x v="16"/>
    <d v="2017-11-10T00:00:00"/>
    <n v="15"/>
    <s v="album"/>
    <s v="Taylor Swift"/>
    <s v="06HL4z0CvFAxyc27GXpf02"/>
    <n v="0.64900000000000002"/>
    <n v="0.58899999999999997"/>
    <n v="-6.2370000000000001"/>
    <n v="5.5800000000000002E-2"/>
    <n v="8.4499999999999992E-3"/>
    <n v="0"/>
    <n v="0.108"/>
    <n v="0.151"/>
  </r>
  <r>
    <s v="I Did Something Bad"/>
    <s v="4svZDCRz4cJoneBpjpx8DJ"/>
    <n v="238253"/>
    <b v="0"/>
    <n v="3"/>
    <s v="6DEjYFkNZh67HP7R9PSZvv"/>
    <x v="16"/>
    <d v="2017-11-10T00:00:00"/>
    <n v="15"/>
    <s v="album"/>
    <s v="Taylor Swift"/>
    <s v="06HL4z0CvFAxyc27GXpf02"/>
    <n v="0.69599999999999995"/>
    <n v="0.60199999999999998"/>
    <n v="-6.1559999999999997"/>
    <n v="0.159"/>
    <n v="6.7900000000000002E-2"/>
    <n v="2.1100000000000001E-5"/>
    <n v="6.9599999999999995E-2"/>
    <n v="0.30499999999999999"/>
  </r>
  <r>
    <s v="Don’t Blame Me"/>
    <s v="1R0a2iXumgCiFb7HEZ7gUE"/>
    <n v="236413"/>
    <b v="0"/>
    <n v="4"/>
    <s v="6DEjYFkNZh67HP7R9PSZvv"/>
    <x v="16"/>
    <d v="2017-11-10T00:00:00"/>
    <n v="15"/>
    <s v="album"/>
    <s v="Taylor Swift"/>
    <s v="06HL4z0CvFAxyc27GXpf02"/>
    <n v="0.61499999999999999"/>
    <n v="0.53400000000000003"/>
    <n v="-6.7190000000000003"/>
    <n v="3.8600000000000002E-2"/>
    <n v="0.106"/>
    <n v="1.7600000000000001E-5"/>
    <n v="6.0699999999999997E-2"/>
    <n v="0.193"/>
  </r>
  <r>
    <s v="Delicate"/>
    <s v="6NFyWDv5CjfwuzoCkw47Xf"/>
    <n v="232253"/>
    <b v="0"/>
    <n v="5"/>
    <s v="6DEjYFkNZh67HP7R9PSZvv"/>
    <x v="16"/>
    <d v="2017-11-10T00:00:00"/>
    <n v="15"/>
    <s v="album"/>
    <s v="Taylor Swift"/>
    <s v="06HL4z0CvFAxyc27GXpf02"/>
    <n v="0.75"/>
    <n v="0.40400000000000003"/>
    <n v="-10.178000000000001"/>
    <n v="6.8199999999999997E-2"/>
    <n v="0.216"/>
    <n v="3.57E-4"/>
    <n v="9.11E-2"/>
    <n v="4.99E-2"/>
  </r>
  <r>
    <s v="Look What You Made Me Do"/>
    <s v="1P17dC1amhFzptugyAO7Il"/>
    <n v="211853"/>
    <b v="0"/>
    <n v="6"/>
    <s v="6DEjYFkNZh67HP7R9PSZvv"/>
    <x v="16"/>
    <d v="2017-11-10T00:00:00"/>
    <n v="15"/>
    <s v="album"/>
    <s v="Taylor Swift"/>
    <s v="06HL4z0CvFAxyc27GXpf02"/>
    <n v="0.76600000000000001"/>
    <n v="0.70899999999999996"/>
    <n v="-6.4710000000000001"/>
    <n v="0.123"/>
    <n v="0.20399999999999999"/>
    <n v="1.4100000000000001E-5"/>
    <n v="0.126"/>
    <n v="0.50600000000000001"/>
  </r>
  <r>
    <s v="So It Goes..."/>
    <s v="5PxFv9yJEg9dxvbZggykro"/>
    <n v="227906"/>
    <b v="0"/>
    <n v="7"/>
    <s v="6DEjYFkNZh67HP7R9PSZvv"/>
    <x v="16"/>
    <d v="2017-11-10T00:00:00"/>
    <n v="15"/>
    <s v="album"/>
    <s v="Taylor Swift"/>
    <s v="06HL4z0CvFAxyc27GXpf02"/>
    <n v="0.57399999999999995"/>
    <n v="0.61"/>
    <n v="-7.2830000000000004"/>
    <n v="7.3200000000000001E-2"/>
    <n v="0.122"/>
    <n v="1.1000000000000001E-6"/>
    <n v="0.13"/>
    <n v="0.374"/>
  </r>
  <r>
    <s v="Gorgeous"/>
    <s v="1ZY1PqizIl78geGM4xWlEA"/>
    <n v="209680"/>
    <b v="0"/>
    <n v="8"/>
    <s v="6DEjYFkNZh67HP7R9PSZvv"/>
    <x v="16"/>
    <d v="2017-11-10T00:00:00"/>
    <n v="15"/>
    <s v="album"/>
    <s v="Taylor Swift"/>
    <s v="06HL4z0CvFAxyc27GXpf02"/>
    <n v="0.8"/>
    <n v="0.53500000000000003"/>
    <n v="-6.6840000000000002"/>
    <n v="0.13500000000000001"/>
    <n v="7.1300000000000002E-2"/>
    <n v="9.4800000000000007E-6"/>
    <n v="0.21299999999999999"/>
    <n v="0.45100000000000001"/>
  </r>
  <r>
    <s v="Getaway Car"/>
    <s v="0VE4kBnHJUgtMf0dy6DRmW"/>
    <n v="233626"/>
    <b v="0"/>
    <n v="9"/>
    <s v="6DEjYFkNZh67HP7R9PSZvv"/>
    <x v="16"/>
    <d v="2017-11-10T00:00:00"/>
    <n v="15"/>
    <s v="album"/>
    <s v="Taylor Swift"/>
    <s v="06HL4z0CvFAxyc27GXpf02"/>
    <n v="0.56200000000000006"/>
    <n v="0.68899999999999995"/>
    <n v="-6.7450000000000001"/>
    <n v="0.127"/>
    <n v="4.6499999999999996E-3"/>
    <n v="2.2299999999999998E-6"/>
    <n v="8.8800000000000004E-2"/>
    <n v="0.35099999999999998"/>
  </r>
  <r>
    <s v="King Of My Heart"/>
    <s v="7HuBDWi18s4aJM8UFnNheH"/>
    <n v="214320"/>
    <b v="0"/>
    <n v="10"/>
    <s v="6DEjYFkNZh67HP7R9PSZvv"/>
    <x v="16"/>
    <d v="2017-11-10T00:00:00"/>
    <n v="15"/>
    <s v="album"/>
    <s v="Taylor Swift"/>
    <s v="06HL4z0CvFAxyc27GXpf02"/>
    <n v="0.67500000000000004"/>
    <n v="0.70299999999999996"/>
    <n v="-7.9020000000000001"/>
    <n v="3.8199999999999998E-2"/>
    <n v="8.8199999999999997E-3"/>
    <n v="2.21E-6"/>
    <n v="3.9100000000000003E-2"/>
    <n v="0.314"/>
  </r>
  <r>
    <s v="Dancing With Our Hands Tied"/>
    <s v="7I7JbDv63ZJJsSi24DyJrz"/>
    <n v="211506"/>
    <b v="0"/>
    <n v="11"/>
    <s v="6DEjYFkNZh67HP7R9PSZvv"/>
    <x v="16"/>
    <d v="2017-11-10T00:00:00"/>
    <n v="15"/>
    <s v="album"/>
    <s v="Taylor Swift"/>
    <s v="06HL4z0CvFAxyc27GXpf02"/>
    <n v="0.624"/>
    <n v="0.69099999999999995"/>
    <n v="-6.6859999999999999"/>
    <n v="0.19600000000000001"/>
    <n v="6.0400000000000002E-2"/>
    <n v="1.1E-5"/>
    <n v="0.13800000000000001"/>
    <n v="0.28399999999999997"/>
  </r>
  <r>
    <s v="Dress"/>
    <s v="6oVxXO5oQ4pTpO8RSnkzvv"/>
    <n v="230373"/>
    <b v="0"/>
    <n v="12"/>
    <s v="6DEjYFkNZh67HP7R9PSZvv"/>
    <x v="16"/>
    <d v="2017-11-10T00:00:00"/>
    <n v="15"/>
    <s v="album"/>
    <s v="Taylor Swift"/>
    <s v="06HL4z0CvFAxyc27GXpf02"/>
    <n v="0.71899999999999997"/>
    <n v="0.46899999999999997"/>
    <n v="-8.7919999999999998"/>
    <n v="5.33E-2"/>
    <n v="3.2899999999999999E-2"/>
    <n v="0"/>
    <n v="0.16900000000000001"/>
    <n v="8.5099999999999995E-2"/>
  </r>
  <r>
    <s v="This Is Why We Can't Have Nice Things"/>
    <s v="07NxDD1iKCHbAldceD7QLP"/>
    <n v="207133"/>
    <b v="0"/>
    <n v="13"/>
    <s v="6DEjYFkNZh67HP7R9PSZvv"/>
    <x v="16"/>
    <d v="2017-11-10T00:00:00"/>
    <n v="15"/>
    <s v="album"/>
    <s v="Taylor Swift"/>
    <s v="06HL4z0CvFAxyc27GXpf02"/>
    <n v="0.56699999999999995"/>
    <n v="0.78900000000000003"/>
    <n v="-5.9859999999999998"/>
    <n v="0.115"/>
    <n v="1.5599999999999999E-2"/>
    <n v="0"/>
    <n v="0.38200000000000001"/>
    <n v="0.438"/>
  </r>
  <r>
    <s v="Call It What You Want"/>
    <s v="1GwMQaZz6Au3QLDbjbMdme"/>
    <n v="203506"/>
    <b v="0"/>
    <n v="14"/>
    <s v="6DEjYFkNZh67HP7R9PSZvv"/>
    <x v="16"/>
    <d v="2017-11-10T00:00:00"/>
    <n v="15"/>
    <s v="album"/>
    <s v="Taylor Swift"/>
    <s v="06HL4z0CvFAxyc27GXpf02"/>
    <n v="0.59799999999999998"/>
    <n v="0.504"/>
    <n v="-9.8740000000000006"/>
    <n v="7.3099999999999998E-2"/>
    <n v="0.186"/>
    <n v="2.2100000000000001E-4"/>
    <n v="0.34"/>
    <n v="0.252"/>
  </r>
  <r>
    <s v="New Year’s Day"/>
    <s v="7F5oktn5YOsR9eR5YsFtqb"/>
    <n v="235466"/>
    <b v="0"/>
    <n v="15"/>
    <s v="6DEjYFkNZh67HP7R9PSZvv"/>
    <x v="16"/>
    <d v="2017-11-10T00:00:00"/>
    <n v="15"/>
    <s v="album"/>
    <s v="Taylor Swift"/>
    <s v="06HL4z0CvFAxyc27GXpf02"/>
    <n v="0.66100000000000003"/>
    <n v="0.151"/>
    <n v="-12.864000000000001"/>
    <n v="3.5400000000000001E-2"/>
    <n v="0.92100000000000004"/>
    <n v="0"/>
    <n v="0.13"/>
    <n v="0.23"/>
  </r>
  <r>
    <s v="All Too Well"/>
    <s v="00vJzaoxM3Eja1doBUhX0P"/>
    <n v="329160"/>
    <b v="0"/>
    <n v="1"/>
    <s v="1MPAXuTVL2Ej5x0JHiSPq8"/>
    <x v="17"/>
    <d v="2017-11-09T00:00:00"/>
    <n v="46"/>
    <s v="album"/>
    <s v="Taylor Swift"/>
    <s v="06HL4z0CvFAxyc27GXpf02"/>
    <n v="0.46300000000000002"/>
    <n v="0.60499999999999998"/>
    <n v="-7.8029999999999999"/>
    <n v="2.93E-2"/>
    <n v="4.48E-2"/>
    <n v="3.3399999999999999E-4"/>
    <n v="0.128"/>
    <n v="0.317"/>
  </r>
  <r>
    <s v="Wildest Dreams"/>
    <s v="22C0JIVhFaczZ4t9heqREN"/>
    <n v="220440"/>
    <b v="0"/>
    <n v="2"/>
    <s v="1MPAXuTVL2Ej5x0JHiSPq8"/>
    <x v="17"/>
    <d v="2017-11-09T00:00:00"/>
    <n v="46"/>
    <s v="album"/>
    <s v="Taylor Swift"/>
    <s v="06HL4z0CvFAxyc27GXpf02"/>
    <n v="0.55000000000000004"/>
    <n v="0.68799999999999994"/>
    <n v="-7.4160000000000004"/>
    <n v="9.0399999999999994E-2"/>
    <n v="7.0300000000000001E-2"/>
    <n v="1.3799999999999999E-3"/>
    <n v="0.106"/>
    <n v="0.46100000000000002"/>
  </r>
  <r>
    <s v="The Best Day"/>
    <s v="7APTsjmZbj7TFXQJAiRti4"/>
    <n v="246306"/>
    <b v="0"/>
    <n v="3"/>
    <s v="1MPAXuTVL2Ej5x0JHiSPq8"/>
    <x v="17"/>
    <d v="2017-11-09T00:00:00"/>
    <n v="46"/>
    <s v="album"/>
    <s v="Taylor Swift"/>
    <s v="06HL4z0CvFAxyc27GXpf02"/>
    <n v="0.66800000000000004"/>
    <n v="0.44800000000000001"/>
    <n v="-8.5670000000000002"/>
    <n v="2.8500000000000001E-2"/>
    <n v="0.63800000000000001"/>
    <n v="4.0999999999999997E-6"/>
    <n v="0.158"/>
    <n v="0.38600000000000001"/>
  </r>
  <r>
    <s v="Red"/>
    <s v="4V9NuhKQcUFt4cgbynHV79"/>
    <n v="223093"/>
    <b v="0"/>
    <n v="4"/>
    <s v="1MPAXuTVL2Ej5x0JHiSPq8"/>
    <x v="17"/>
    <d v="2017-11-09T00:00:00"/>
    <n v="46"/>
    <s v="album"/>
    <s v="Taylor Swift"/>
    <s v="06HL4z0CvFAxyc27GXpf02"/>
    <n v="0.60499999999999998"/>
    <n v="0.89900000000000002"/>
    <n v="-4.2729999999999997"/>
    <n v="4.2299999999999997E-2"/>
    <n v="7.7899999999999997E-2"/>
    <n v="1.2400000000000001E-4"/>
    <n v="9.11E-2"/>
    <n v="0.64700000000000002"/>
  </r>
  <r>
    <s v="Holy Ground"/>
    <s v="4hCZk6WJBFQeG3P7WsyntI"/>
    <n v="202960"/>
    <b v="0"/>
    <n v="5"/>
    <s v="1MPAXuTVL2Ej5x0JHiSPq8"/>
    <x v="17"/>
    <d v="2017-11-09T00:00:00"/>
    <n v="46"/>
    <s v="album"/>
    <s v="Taylor Swift"/>
    <s v="06HL4z0CvFAxyc27GXpf02"/>
    <n v="0.627"/>
    <n v="0.81599999999999995"/>
    <n v="-6.6980000000000004"/>
    <n v="7.7399999999999997E-2"/>
    <n v="1.5900000000000001E-2"/>
    <n v="2.2000000000000001E-3"/>
    <n v="9.6500000000000002E-2"/>
    <n v="0.64800000000000002"/>
  </r>
  <r>
    <s v="Teardrops On My Guitar - Radio Single Remix"/>
    <s v="7eGeUVeCEvEQrivmjl9Qn3"/>
    <n v="204706"/>
    <b v="0"/>
    <n v="6"/>
    <s v="1MPAXuTVL2Ej5x0JHiSPq8"/>
    <x v="17"/>
    <d v="2017-11-09T00:00:00"/>
    <n v="46"/>
    <s v="album"/>
    <s v="Taylor Swift"/>
    <s v="06HL4z0CvFAxyc27GXpf02"/>
    <n v="0.626"/>
    <n v="0.42699999999999999"/>
    <n v="-6.9930000000000003"/>
    <n v="2.3400000000000001E-2"/>
    <n v="0.315"/>
    <n v="0"/>
    <n v="0.13800000000000001"/>
    <n v="0.26500000000000001"/>
  </r>
  <r>
    <s v="Our Song"/>
    <s v="7qGr3rjRhndRIpFUA5f2HJ"/>
    <n v="203440"/>
    <b v="0"/>
    <n v="7"/>
    <s v="1MPAXuTVL2Ej5x0JHiSPq8"/>
    <x v="17"/>
    <d v="2017-11-09T00:00:00"/>
    <n v="46"/>
    <s v="album"/>
    <s v="Taylor Swift"/>
    <s v="06HL4z0CvFAxyc27GXpf02"/>
    <n v="0.54500000000000004"/>
    <n v="0.66300000000000003"/>
    <n v="-5.05"/>
    <n v="3.6299999999999999E-2"/>
    <n v="0.114"/>
    <n v="0"/>
    <n v="0.32100000000000001"/>
    <n v="0.56499999999999995"/>
  </r>
  <r>
    <n v="22"/>
    <s v="2P5gfMtCcKP0CkmgqFMyPg"/>
    <n v="232120"/>
    <b v="0"/>
    <n v="8"/>
    <s v="1MPAXuTVL2Ej5x0JHiSPq8"/>
    <x v="17"/>
    <d v="2017-11-09T00:00:00"/>
    <n v="46"/>
    <s v="album"/>
    <s v="Taylor Swift"/>
    <s v="06HL4z0CvFAxyc27GXpf02"/>
    <n v="0.66"/>
    <n v="0.73199999999999998"/>
    <n v="-6.5650000000000004"/>
    <n v="3.7900000000000003E-2"/>
    <n v="2.5400000000000002E-3"/>
    <n v="1.4599999999999999E-3"/>
    <n v="4.7300000000000002E-2"/>
    <n v="0.67700000000000005"/>
  </r>
  <r>
    <s v="I Knew You Were Trouble."/>
    <s v="2o2IVjuqRkR9hJxtPjtAP0"/>
    <n v="219720"/>
    <b v="0"/>
    <n v="9"/>
    <s v="1MPAXuTVL2Ej5x0JHiSPq8"/>
    <x v="17"/>
    <d v="2017-11-09T00:00:00"/>
    <n v="46"/>
    <s v="album"/>
    <s v="Taylor Swift"/>
    <s v="06HL4z0CvFAxyc27GXpf02"/>
    <n v="0.53600000000000003"/>
    <n v="0.46400000000000002"/>
    <n v="-6.7610000000000001"/>
    <n v="4.1200000000000001E-2"/>
    <n v="4.7600000000000003E-3"/>
    <n v="2.74E-6"/>
    <n v="3.5799999999999998E-2"/>
    <n v="0.66600000000000004"/>
  </r>
  <r>
    <s v="I Don’t Wanna Live Forever (Fifty Shades Darker)"/>
    <s v="55n9yjI6qqXh5F2mYvUc2y"/>
    <n v="247160"/>
    <b v="0"/>
    <n v="10"/>
    <s v="1MPAXuTVL2Ej5x0JHiSPq8"/>
    <x v="17"/>
    <d v="2017-11-09T00:00:00"/>
    <n v="46"/>
    <s v="album"/>
    <s v="Taylor Swift"/>
    <s v="06HL4z0CvFAxyc27GXpf02"/>
    <n v="0.73"/>
    <n v="0.44400000000000001"/>
    <n v="-8.4179999999999993"/>
    <n v="5.3800000000000001E-2"/>
    <n v="5.8999999999999997E-2"/>
    <n v="1.8E-5"/>
    <n v="0.14000000000000001"/>
    <n v="0.106"/>
  </r>
  <r>
    <s v="Mean"/>
    <s v="5rcHBt2aNcGFWW0jaAUe1L"/>
    <n v="238693"/>
    <b v="0"/>
    <n v="11"/>
    <s v="1MPAXuTVL2Ej5x0JHiSPq8"/>
    <x v="17"/>
    <d v="2017-11-09T00:00:00"/>
    <n v="46"/>
    <s v="album"/>
    <s v="Taylor Swift"/>
    <s v="06HL4z0CvFAxyc27GXpf02"/>
    <n v="0.57599999999999996"/>
    <n v="0.755"/>
    <n v="-3.9820000000000002"/>
    <n v="4.2700000000000002E-2"/>
    <n v="0.44900000000000001"/>
    <n v="0"/>
    <n v="0.223"/>
    <n v="0.79100000000000004"/>
  </r>
  <r>
    <s v="How You Get The Girl"/>
    <s v="3aSYZ4upQ6OSNos26YeVWL"/>
    <n v="247533"/>
    <b v="0"/>
    <n v="12"/>
    <s v="1MPAXuTVL2Ej5x0JHiSPq8"/>
    <x v="17"/>
    <d v="2017-11-09T00:00:00"/>
    <n v="46"/>
    <s v="album"/>
    <s v="Taylor Swift"/>
    <s v="06HL4z0CvFAxyc27GXpf02"/>
    <n v="0.76400000000000001"/>
    <n v="0.65700000000000003"/>
    <n v="-6.1120000000000001"/>
    <n v="5.0299999999999997E-2"/>
    <n v="3.63E-3"/>
    <n v="8.9899999999999997E-3"/>
    <n v="9.1800000000000007E-2"/>
    <n v="0.54600000000000004"/>
  </r>
  <r>
    <s v="So It Goes..."/>
    <s v="41T04yafZVrjNq2FqvLtId"/>
    <n v="227906"/>
    <b v="0"/>
    <n v="13"/>
    <s v="1MPAXuTVL2Ej5x0JHiSPq8"/>
    <x v="17"/>
    <d v="2017-11-09T00:00:00"/>
    <n v="46"/>
    <s v="album"/>
    <s v="Taylor Swift"/>
    <s v="06HL4z0CvFAxyc27GXpf02"/>
    <n v="0.57799999999999996"/>
    <n v="0.61"/>
    <n v="-7.2830000000000004"/>
    <n v="6.7599999999999993E-2"/>
    <n v="0.122"/>
    <n v="1.1000000000000001E-6"/>
    <n v="0.13"/>
    <n v="0.371"/>
  </r>
  <r>
    <s v="Fifteen"/>
    <s v="0H2UD0LfSCiRr59YMGlCuS"/>
    <n v="295320"/>
    <b v="0"/>
    <n v="14"/>
    <s v="1MPAXuTVL2Ej5x0JHiSPq8"/>
    <x v="17"/>
    <d v="2017-11-09T00:00:00"/>
    <n v="46"/>
    <s v="album"/>
    <s v="Taylor Swift"/>
    <s v="06HL4z0CvFAxyc27GXpf02"/>
    <n v="0.54900000000000004"/>
    <n v="0.63"/>
    <n v="-4.4359999999999999"/>
    <n v="2.7E-2"/>
    <n v="7.0000000000000007E-2"/>
    <n v="0"/>
    <n v="0.13800000000000001"/>
    <n v="0.217"/>
  </r>
  <r>
    <s v="Mine"/>
    <s v="6FmJKLpyCt42nP2IOVEVc2"/>
    <n v="231866"/>
    <b v="0"/>
    <n v="15"/>
    <s v="1MPAXuTVL2Ej5x0JHiSPq8"/>
    <x v="17"/>
    <d v="2017-11-09T00:00:00"/>
    <n v="46"/>
    <s v="album"/>
    <s v="Taylor Swift"/>
    <s v="06HL4z0CvFAxyc27GXpf02"/>
    <n v="0.622"/>
    <n v="0.78100000000000003"/>
    <n v="-2.9449999999999998"/>
    <n v="3.0200000000000001E-2"/>
    <n v="3.1099999999999999E-3"/>
    <n v="3.1E-6"/>
    <n v="0.187"/>
    <n v="0.66200000000000003"/>
  </r>
  <r>
    <s v="Sparks Fly"/>
    <s v="5h2sBwpUSAndjObfU3ti2r"/>
    <n v="262920"/>
    <b v="0"/>
    <n v="16"/>
    <s v="1MPAXuTVL2Ej5x0JHiSPq8"/>
    <x v="17"/>
    <d v="2017-11-09T00:00:00"/>
    <n v="46"/>
    <s v="album"/>
    <s v="Taylor Swift"/>
    <s v="06HL4z0CvFAxyc27GXpf02"/>
    <n v="0.61"/>
    <n v="0.78200000000000003"/>
    <n v="-2.98"/>
    <n v="3.09E-2"/>
    <n v="4.1000000000000002E-2"/>
    <n v="0"/>
    <n v="0.16"/>
    <n v="0.39900000000000002"/>
  </r>
  <r>
    <s v="State Of Grace"/>
    <s v="0YRGTdfmJPALpglAaraYUr"/>
    <n v="295720"/>
    <b v="0"/>
    <n v="17"/>
    <s v="1MPAXuTVL2Ej5x0JHiSPq8"/>
    <x v="17"/>
    <d v="2017-11-09T00:00:00"/>
    <n v="46"/>
    <s v="album"/>
    <s v="Taylor Swift"/>
    <s v="06HL4z0CvFAxyc27GXpf02"/>
    <n v="0.59099999999999997"/>
    <n v="0.82799999999999996"/>
    <n v="-5.8949999999999996"/>
    <n v="3.3300000000000003E-2"/>
    <n v="1.8200000000000001E-4"/>
    <n v="1.15E-3"/>
    <n v="8.7900000000000006E-2"/>
    <n v="0.38300000000000001"/>
  </r>
  <r>
    <s v="Haunted"/>
    <s v="6CB7DczrX9ZJB9Wkjegmaq"/>
    <n v="245413"/>
    <b v="0"/>
    <n v="18"/>
    <s v="1MPAXuTVL2Ej5x0JHiSPq8"/>
    <x v="17"/>
    <d v="2017-11-09T00:00:00"/>
    <n v="46"/>
    <s v="album"/>
    <s v="Taylor Swift"/>
    <s v="06HL4z0CvFAxyc27GXpf02"/>
    <n v="0.43"/>
    <n v="0.94799999999999995"/>
    <n v="-2.6219999999999999"/>
    <n v="6.0499999999999998E-2"/>
    <n v="6.5500000000000003E-2"/>
    <n v="0"/>
    <n v="6.1199999999999997E-2"/>
    <n v="0.371"/>
  </r>
  <r>
    <s v="Never Grow Up"/>
    <s v="1UPDfqsVIZLEiZeMuUsni2"/>
    <n v="292920"/>
    <b v="0"/>
    <n v="19"/>
    <s v="1MPAXuTVL2Ej5x0JHiSPq8"/>
    <x v="17"/>
    <d v="2017-11-09T00:00:00"/>
    <n v="46"/>
    <s v="album"/>
    <s v="Taylor Swift"/>
    <s v="06HL4z0CvFAxyc27GXpf02"/>
    <n v="0.71399999999999997"/>
    <n v="0.309"/>
    <n v="-8.8279999999999994"/>
    <n v="3.0200000000000001E-2"/>
    <n v="0.82399999999999995"/>
    <n v="0"/>
    <n v="0.13600000000000001"/>
    <n v="0.54600000000000004"/>
  </r>
  <r>
    <s v="Treacherous"/>
    <s v="0r3U7SOcoj4DIEyN44Lt5z"/>
    <n v="242760"/>
    <b v="0"/>
    <n v="20"/>
    <s v="1MPAXuTVL2Ej5x0JHiSPq8"/>
    <x v="17"/>
    <d v="2017-11-09T00:00:00"/>
    <n v="46"/>
    <s v="album"/>
    <s v="Taylor Swift"/>
    <s v="06HL4z0CvFAxyc27GXpf02"/>
    <n v="0.70399999999999996"/>
    <n v="0.621"/>
    <n v="-8.0860000000000003"/>
    <n v="3.3399999999999999E-2"/>
    <n v="0.10100000000000001"/>
    <n v="4.3000000000000003E-6"/>
    <n v="0.14000000000000001"/>
    <n v="0.39500000000000002"/>
  </r>
  <r>
    <s v="Babe"/>
    <s v="40PXEOFLJc7UIpLMrhSfW1"/>
    <n v="215106"/>
    <b v="0"/>
    <n v="21"/>
    <s v="1MPAXuTVL2Ej5x0JHiSPq8"/>
    <x v="17"/>
    <d v="2017-11-09T00:00:00"/>
    <n v="46"/>
    <s v="album"/>
    <s v="Taylor Swift"/>
    <s v="06HL4z0CvFAxyc27GXpf02"/>
    <n v="0.57699999999999996"/>
    <n v="0.78500000000000003"/>
    <n v="-3.266"/>
    <n v="0.10199999999999999"/>
    <n v="2.2100000000000002E-2"/>
    <n v="0"/>
    <n v="0.125"/>
    <n v="0.64700000000000002"/>
  </r>
  <r>
    <s v="Welcome To New York"/>
    <s v="3YLA3NgzFRRa7LiHMtFPby"/>
    <n v="212600"/>
    <b v="0"/>
    <n v="22"/>
    <s v="1MPAXuTVL2Ej5x0JHiSPq8"/>
    <x v="17"/>
    <d v="2017-11-09T00:00:00"/>
    <n v="46"/>
    <s v="album"/>
    <s v="Taylor Swift"/>
    <s v="06HL4z0CvFAxyc27GXpf02"/>
    <n v="0.78900000000000003"/>
    <n v="0.63400000000000001"/>
    <n v="-4.7619999999999996"/>
    <n v="3.2300000000000002E-2"/>
    <n v="3.4799999999999998E-2"/>
    <n v="1.6899999999999999E-6"/>
    <n v="0.30199999999999999"/>
    <n v="0.65800000000000003"/>
  </r>
  <r>
    <s v="Fearless"/>
    <s v="43sE2O3skbGBpT2tO6fzv9"/>
    <n v="242973"/>
    <b v="0"/>
    <n v="23"/>
    <s v="1MPAXuTVL2Ej5x0JHiSPq8"/>
    <x v="17"/>
    <d v="2017-11-09T00:00:00"/>
    <n v="46"/>
    <s v="album"/>
    <s v="Taylor Swift"/>
    <s v="06HL4z0CvFAxyc27GXpf02"/>
    <n v="0.60299999999999998"/>
    <n v="0.71699999999999997"/>
    <n v="-4.4009999999999998"/>
    <n v="2.7199999999999998E-2"/>
    <n v="3.8100000000000002E-2"/>
    <n v="0"/>
    <n v="0.307"/>
    <n v="0.42899999999999999"/>
  </r>
  <r>
    <s v="Enchanted"/>
    <s v="5lg33MHs1BoUtJVClw8ZpI"/>
    <n v="353253"/>
    <b v="0"/>
    <n v="24"/>
    <s v="1MPAXuTVL2Ej5x0JHiSPq8"/>
    <x v="17"/>
    <d v="2017-11-09T00:00:00"/>
    <n v="46"/>
    <s v="album"/>
    <s v="Taylor Swift"/>
    <s v="06HL4z0CvFAxyc27GXpf02"/>
    <n v="0.53600000000000003"/>
    <n v="0.629"/>
    <n v="-3.907"/>
    <n v="2.75E-2"/>
    <n v="7.0699999999999999E-2"/>
    <n v="1.17E-3"/>
    <n v="0.158"/>
    <n v="0.222"/>
  </r>
  <r>
    <s v="Change"/>
    <s v="5PSOWHll3h3Vy226xSJk0M"/>
    <n v="281053"/>
    <b v="0"/>
    <n v="25"/>
    <s v="1MPAXuTVL2Ej5x0JHiSPq8"/>
    <x v="17"/>
    <d v="2017-11-09T00:00:00"/>
    <n v="46"/>
    <s v="album"/>
    <s v="Taylor Swift"/>
    <s v="06HL4z0CvFAxyc27GXpf02"/>
    <n v="0.54300000000000004"/>
    <n v="0.76400000000000001"/>
    <n v="-4.2060000000000004"/>
    <n v="3.7699999999999997E-2"/>
    <n v="4.1799999999999997E-3"/>
    <n v="0"/>
    <n v="0.111"/>
    <n v="0.23300000000000001"/>
  </r>
  <r>
    <s v="Ours"/>
    <s v="0V3SNHDka1JSCP71HAzpxw"/>
    <n v="239346"/>
    <b v="0"/>
    <n v="26"/>
    <s v="1MPAXuTVL2Ej5x0JHiSPq8"/>
    <x v="17"/>
    <d v="2017-11-09T00:00:00"/>
    <n v="46"/>
    <s v="album"/>
    <s v="Taylor Swift"/>
    <s v="06HL4z0CvFAxyc27GXpf02"/>
    <n v="0.60899999999999999"/>
    <n v="0.56000000000000005"/>
    <n v="-7.3920000000000003"/>
    <n v="2.7900000000000001E-2"/>
    <n v="0.46899999999999997"/>
    <n v="0"/>
    <n v="8.6999999999999994E-2"/>
    <n v="0.22800000000000001"/>
  </r>
  <r>
    <s v="Out Of The Woods"/>
    <s v="0GmfiNHSgkKamYgQEMYOH3"/>
    <n v="235800"/>
    <b v="0"/>
    <n v="27"/>
    <s v="1MPAXuTVL2Ej5x0JHiSPq8"/>
    <x v="17"/>
    <d v="2017-11-09T00:00:00"/>
    <n v="46"/>
    <s v="album"/>
    <s v="Taylor Swift"/>
    <s v="06HL4z0CvFAxyc27GXpf02"/>
    <n v="0.55300000000000005"/>
    <n v="0.84099999999999997"/>
    <n v="-6.9370000000000003"/>
    <n v="3.9699999999999999E-2"/>
    <n v="7.4299999999999995E-4"/>
    <n v="1.0699999999999999E-5"/>
    <n v="0.34100000000000003"/>
    <n v="0.33900000000000002"/>
  </r>
  <r>
    <s v="Come Back...Be Here"/>
    <s v="5hiqtrACtMJkNpaNHj0n9Z"/>
    <n v="223920"/>
    <b v="0"/>
    <n v="28"/>
    <s v="1MPAXuTVL2Ej5x0JHiSPq8"/>
    <x v="17"/>
    <d v="2017-11-09T00:00:00"/>
    <n v="46"/>
    <s v="album"/>
    <s v="Taylor Swift"/>
    <s v="06HL4z0CvFAxyc27GXpf02"/>
    <n v="0.48599999999999999"/>
    <n v="0.54800000000000004"/>
    <n v="-6.2910000000000004"/>
    <n v="2.5600000000000001E-2"/>
    <n v="4.7099999999999998E-3"/>
    <n v="2.0600000000000002E-6"/>
    <n v="9.9699999999999997E-2"/>
    <n v="0.22"/>
  </r>
  <r>
    <s v="A Place in this World"/>
    <s v="2RSYYe7LhKFxIi50T5XtUo"/>
    <n v="202080"/>
    <b v="0"/>
    <n v="29"/>
    <s v="1MPAXuTVL2Ej5x0JHiSPq8"/>
    <x v="17"/>
    <d v="2017-11-09T00:00:00"/>
    <n v="46"/>
    <s v="album"/>
    <s v="Taylor Swift"/>
    <s v="06HL4z0CvFAxyc27GXpf02"/>
    <n v="0.57299999999999995"/>
    <n v="0.76700000000000002"/>
    <n v="-2.9289999999999998"/>
    <n v="3.2300000000000002E-2"/>
    <n v="5.7599999999999998E-2"/>
    <n v="0"/>
    <n v="0.32700000000000001"/>
    <n v="0.438"/>
  </r>
  <r>
    <s v="This Love"/>
    <s v="64KRxmbqypPBlya4nxFmDn"/>
    <n v="250093"/>
    <b v="0"/>
    <n v="30"/>
    <s v="1MPAXuTVL2Ej5x0JHiSPq8"/>
    <x v="17"/>
    <d v="2017-11-09T00:00:00"/>
    <n v="46"/>
    <s v="album"/>
    <s v="Taylor Swift"/>
    <s v="06HL4z0CvFAxyc27GXpf02"/>
    <n v="0.48"/>
    <n v="0.435"/>
    <n v="-8.7949999999999999"/>
    <n v="3.1899999999999998E-2"/>
    <n v="0.67900000000000005"/>
    <n v="0"/>
    <n v="9.2799999999999994E-2"/>
    <n v="0.108"/>
  </r>
  <r>
    <s v="The Lucky One"/>
    <s v="24ksPWXKg1k7OOG57pufED"/>
    <n v="240266"/>
    <b v="0"/>
    <n v="31"/>
    <s v="1MPAXuTVL2Ej5x0JHiSPq8"/>
    <x v="17"/>
    <d v="2017-11-09T00:00:00"/>
    <n v="46"/>
    <s v="album"/>
    <s v="Taylor Swift"/>
    <s v="06HL4z0CvFAxyc27GXpf02"/>
    <n v="0.70599999999999996"/>
    <n v="0.505"/>
    <n v="-7.6390000000000002"/>
    <n v="3.5799999999999998E-2"/>
    <n v="3.5200000000000002E-2"/>
    <n v="0"/>
    <n v="0.13"/>
    <n v="0.56100000000000005"/>
  </r>
  <r>
    <s v="Invisible"/>
    <s v="0kqC185OTcnuhbz4T7g5RB"/>
    <n v="205853"/>
    <b v="0"/>
    <n v="32"/>
    <s v="1MPAXuTVL2Ej5x0JHiSPq8"/>
    <x v="17"/>
    <d v="2017-11-09T00:00:00"/>
    <n v="46"/>
    <s v="album"/>
    <s v="Taylor Swift"/>
    <s v="06HL4z0CvFAxyc27GXpf02"/>
    <n v="0.60799999999999998"/>
    <n v="0.38400000000000001"/>
    <n v="-5.7320000000000002"/>
    <n v="2.46E-2"/>
    <n v="0.56000000000000005"/>
    <n v="0"/>
    <n v="0.16500000000000001"/>
    <n v="0.217"/>
  </r>
  <r>
    <s v="Breathe"/>
    <s v="3oxgFdIlxFEDEJqn7k5TVN"/>
    <n v="264946"/>
    <b v="0"/>
    <n v="33"/>
    <s v="1MPAXuTVL2Ej5x0JHiSPq8"/>
    <x v="17"/>
    <d v="2017-11-09T00:00:00"/>
    <n v="46"/>
    <s v="album"/>
    <s v="Taylor Swift"/>
    <s v="06HL4z0CvFAxyc27GXpf02"/>
    <n v="0.442"/>
    <n v="0.48"/>
    <n v="-7.4050000000000002"/>
    <n v="2.81E-2"/>
    <n v="0.41599999999999998"/>
    <n v="0"/>
    <n v="0.129"/>
    <n v="0.16700000000000001"/>
  </r>
  <r>
    <s v="Better Man"/>
    <s v="3EXetjrGgwIjDRNn6YA8sa"/>
    <n v="263613"/>
    <b v="0"/>
    <n v="34"/>
    <s v="1MPAXuTVL2Ej5x0JHiSPq8"/>
    <x v="17"/>
    <d v="2017-11-09T00:00:00"/>
    <n v="46"/>
    <s v="album"/>
    <s v="Taylor Swift"/>
    <s v="06HL4z0CvFAxyc27GXpf02"/>
    <n v="0.503"/>
    <n v="0.84399999999999997"/>
    <n v="-3.6480000000000001"/>
    <n v="3.7900000000000003E-2"/>
    <n v="0.121"/>
    <n v="0"/>
    <n v="9.74E-2"/>
    <n v="0.50800000000000001"/>
  </r>
  <r>
    <s v="Jump Then Fall"/>
    <s v="5zytSTR2g0I9psX2Z12ex6"/>
    <n v="238093"/>
    <b v="0"/>
    <n v="35"/>
    <s v="1MPAXuTVL2Ej5x0JHiSPq8"/>
    <x v="17"/>
    <d v="2017-11-09T00:00:00"/>
    <n v="46"/>
    <s v="album"/>
    <s v="Taylor Swift"/>
    <s v="06HL4z0CvFAxyc27GXpf02"/>
    <n v="0.61699999999999999"/>
    <n v="0.69899999999999995"/>
    <n v="-5.7119999999999997"/>
    <n v="2.7099999999999999E-2"/>
    <n v="0.113"/>
    <n v="0"/>
    <n v="7.3999999999999996E-2"/>
    <n v="0.82699999999999996"/>
  </r>
  <r>
    <s v="Begin Again"/>
    <s v="2G679wnKfyhUOeNx910OXg"/>
    <n v="239426"/>
    <b v="0"/>
    <n v="36"/>
    <s v="1MPAXuTVL2Ej5x0JHiSPq8"/>
    <x v="17"/>
    <d v="2017-11-09T00:00:00"/>
    <n v="46"/>
    <s v="album"/>
    <s v="Taylor Swift"/>
    <s v="06HL4z0CvFAxyc27GXpf02"/>
    <n v="0.51600000000000001"/>
    <n v="0.52600000000000002"/>
    <n v="-8.3490000000000002"/>
    <n v="2.69E-2"/>
    <n v="0.19700000000000001"/>
    <n v="3.49E-6"/>
    <n v="0.14000000000000001"/>
    <n v="0.312"/>
  </r>
  <r>
    <s v="Tied Together with a Smile"/>
    <s v="4qNEi8zGIYLiMtoW8OaJdx"/>
    <n v="251213"/>
    <b v="0"/>
    <n v="37"/>
    <s v="1MPAXuTVL2Ej5x0JHiSPq8"/>
    <x v="17"/>
    <d v="2017-11-09T00:00:00"/>
    <n v="46"/>
    <s v="album"/>
    <s v="Taylor Swift"/>
    <s v="06HL4z0CvFAxyc27GXpf02"/>
    <n v="0.47799999999999998"/>
    <n v="0.54700000000000004"/>
    <n v="-4.9480000000000004"/>
    <n v="2.75E-2"/>
    <n v="0.52300000000000002"/>
    <n v="0"/>
    <n v="7.2800000000000004E-2"/>
    <n v="0.23799999999999999"/>
  </r>
  <r>
    <s v="The Story Of Us"/>
    <s v="2fF3QzbGCrtrDXIdWcg1mv"/>
    <n v="267653"/>
    <b v="0"/>
    <n v="38"/>
    <s v="1MPAXuTVL2Ej5x0JHiSPq8"/>
    <x v="17"/>
    <d v="2017-11-09T00:00:00"/>
    <n v="46"/>
    <s v="album"/>
    <s v="Taylor Swift"/>
    <s v="06HL4z0CvFAxyc27GXpf02"/>
    <n v="0.54700000000000004"/>
    <n v="0.80700000000000005"/>
    <n v="-3.63"/>
    <n v="3.9800000000000002E-2"/>
    <n v="5.5599999999999998E-3"/>
    <n v="3.1799999999999998E-4"/>
    <n v="5.8799999999999998E-2"/>
    <n v="0.64500000000000002"/>
  </r>
  <r>
    <s v="Forever &amp; Always"/>
    <s v="0QCS4NpURHvWdF1icdkfBw"/>
    <n v="226293"/>
    <b v="0"/>
    <n v="39"/>
    <s v="1MPAXuTVL2Ej5x0JHiSPq8"/>
    <x v="17"/>
    <d v="2017-11-09T00:00:00"/>
    <n v="46"/>
    <s v="album"/>
    <s v="Taylor Swift"/>
    <s v="06HL4z0CvFAxyc27GXpf02"/>
    <n v="0.60699999999999998"/>
    <n v="0.82899999999999996"/>
    <n v="-5.0199999999999996"/>
    <n v="5.8700000000000002E-2"/>
    <n v="8.0500000000000002E-2"/>
    <n v="0"/>
    <n v="0.20699999999999999"/>
    <n v="0.52100000000000002"/>
  </r>
  <r>
    <s v="Hey Stephen"/>
    <s v="0TYJbIHBtmWy9ugtU9BcbE"/>
    <n v="256040"/>
    <b v="0"/>
    <n v="40"/>
    <s v="1MPAXuTVL2Ej5x0JHiSPq8"/>
    <x v="17"/>
    <d v="2017-11-09T00:00:00"/>
    <n v="46"/>
    <s v="album"/>
    <s v="Taylor Swift"/>
    <s v="06HL4z0CvFAxyc27GXpf02"/>
    <n v="0.84299999999999997"/>
    <n v="0.54100000000000004"/>
    <n v="-7.3609999999999998"/>
    <n v="3.1800000000000002E-2"/>
    <n v="0.191"/>
    <n v="1.9300000000000002E-6"/>
    <n v="0.108"/>
    <n v="0.83899999999999997"/>
  </r>
  <r>
    <s v="Speak Now"/>
    <s v="1XLc4irbX7oQSneh6gWv3O"/>
    <n v="243346"/>
    <b v="0"/>
    <n v="41"/>
    <s v="1MPAXuTVL2Ej5x0JHiSPq8"/>
    <x v="17"/>
    <d v="2017-11-09T00:00:00"/>
    <n v="46"/>
    <s v="album"/>
    <s v="Taylor Swift"/>
    <s v="06HL4z0CvFAxyc27GXpf02"/>
    <n v="0.71199999999999997"/>
    <n v="0.60299999999999998"/>
    <n v="-3.7530000000000001"/>
    <n v="3.04E-2"/>
    <n v="9.9099999999999994E-2"/>
    <n v="0"/>
    <n v="0.10199999999999999"/>
    <n v="0.71399999999999997"/>
  </r>
  <r>
    <s v="Wonderland"/>
    <s v="0eTCaVOYLpJlSkbEi2jay4"/>
    <n v="245560"/>
    <b v="0"/>
    <n v="42"/>
    <s v="1MPAXuTVL2Ej5x0JHiSPq8"/>
    <x v="17"/>
    <d v="2017-11-09T00:00:00"/>
    <n v="46"/>
    <s v="album"/>
    <s v="Taylor Swift"/>
    <s v="06HL4z0CvFAxyc27GXpf02"/>
    <n v="0.42199999999999999"/>
    <n v="0.69199999999999995"/>
    <n v="-5.4470000000000001"/>
    <n v="5.4899999999999997E-2"/>
    <n v="4.9299999999999997E-2"/>
    <n v="2.5700000000000001E-5"/>
    <n v="0.17699999999999999"/>
    <n v="0.19700000000000001"/>
  </r>
  <r>
    <s v="White Horse"/>
    <s v="4RMfSYDFkcz0bKoK8fHDgR"/>
    <n v="235400"/>
    <b v="0"/>
    <n v="43"/>
    <s v="1MPAXuTVL2Ej5x0JHiSPq8"/>
    <x v="17"/>
    <d v="2017-11-09T00:00:00"/>
    <n v="46"/>
    <s v="album"/>
    <s v="Taylor Swift"/>
    <s v="06HL4z0CvFAxyc27GXpf02"/>
    <n v="0.57799999999999996"/>
    <n v="0.34799999999999998"/>
    <n v="-8.0660000000000007"/>
    <n v="2.5700000000000001E-2"/>
    <n v="0.311"/>
    <n v="0"/>
    <n v="0.1"/>
    <n v="0.218"/>
  </r>
  <r>
    <s v="I'm Only Me When I'm With You"/>
    <s v="6Py8IKZqDyU8aQVrjilbJw"/>
    <n v="215600"/>
    <b v="0"/>
    <n v="44"/>
    <s v="1MPAXuTVL2Ej5x0JHiSPq8"/>
    <x v="17"/>
    <d v="2017-11-09T00:00:00"/>
    <n v="46"/>
    <s v="album"/>
    <s v="Taylor Swift"/>
    <s v="06HL4z0CvFAxyc27GXpf02"/>
    <n v="0.55600000000000005"/>
    <n v="0.93300000000000005"/>
    <n v="-3.6850000000000001"/>
    <n v="7.1900000000000006E-2"/>
    <n v="4.5399999999999998E-3"/>
    <n v="4.6200000000000001E-4"/>
    <n v="0.10100000000000001"/>
    <n v="0.52100000000000002"/>
  </r>
  <r>
    <s v="Starlight"/>
    <s v="7txpzmA69zyk50K3ZyZSzC"/>
    <n v="220600"/>
    <b v="0"/>
    <n v="45"/>
    <s v="1MPAXuTVL2Ej5x0JHiSPq8"/>
    <x v="17"/>
    <d v="2017-11-09T00:00:00"/>
    <n v="46"/>
    <s v="album"/>
    <s v="Taylor Swift"/>
    <s v="06HL4z0CvFAxyc27GXpf02"/>
    <n v="0.64900000000000002"/>
    <n v="0.77900000000000003"/>
    <n v="-5.798"/>
    <n v="3.9100000000000003E-2"/>
    <n v="1.8599999999999998E-2"/>
    <n v="4.7399999999999997E-4"/>
    <n v="0.23400000000000001"/>
    <n v="0.61699999999999999"/>
  </r>
  <r>
    <s v="I Know Places"/>
    <s v="3qGLcmO0XnnrcpAQGZwTvA"/>
    <n v="195706"/>
    <b v="0"/>
    <n v="46"/>
    <s v="1MPAXuTVL2Ej5x0JHiSPq8"/>
    <x v="17"/>
    <d v="2017-11-09T00:00:00"/>
    <n v="46"/>
    <s v="album"/>
    <s v="Taylor Swift"/>
    <s v="06HL4z0CvFAxyc27GXpf02"/>
    <n v="0.60299999999999998"/>
    <n v="0.755"/>
    <n v="-4.9909999999999997"/>
    <n v="7.0900000000000005E-2"/>
    <n v="0.24299999999999999"/>
    <n v="0"/>
    <n v="0.17799999999999999"/>
    <n v="0.496"/>
  </r>
  <r>
    <s v="Welcome To New York"/>
    <s v="33Kq0AT5rvwyE4azisG08x"/>
    <n v="212600"/>
    <b v="0"/>
    <n v="1"/>
    <s v="34OkZVpuzBa9y40DCy0LPR"/>
    <x v="18"/>
    <d v="2014-10-27T00:00:00"/>
    <n v="19"/>
    <s v="album"/>
    <s v="Taylor Swift"/>
    <s v="06HL4z0CvFAxyc27GXpf02"/>
    <n v="0.78900000000000003"/>
    <n v="0.63400000000000001"/>
    <n v="-4.7619999999999996"/>
    <n v="3.2300000000000002E-2"/>
    <n v="3.4799999999999998E-2"/>
    <n v="1.64E-6"/>
    <n v="0.30199999999999999"/>
    <n v="0.65800000000000003"/>
  </r>
  <r>
    <s v="Blank Space"/>
    <s v="2sC2P3BN0IXujNaaSyDmtP"/>
    <n v="231826"/>
    <b v="0"/>
    <n v="2"/>
    <s v="34OkZVpuzBa9y40DCy0LPR"/>
    <x v="18"/>
    <d v="2014-10-27T00:00:00"/>
    <n v="19"/>
    <s v="album"/>
    <s v="Taylor Swift"/>
    <s v="06HL4z0CvFAxyc27GXpf02"/>
    <n v="0.76"/>
    <n v="0.70299999999999996"/>
    <n v="-5.4119999999999999"/>
    <n v="5.3999999999999999E-2"/>
    <n v="0.10299999999999999"/>
    <n v="0"/>
    <n v="9.1300000000000006E-2"/>
    <n v="0.56999999999999995"/>
  </r>
  <r>
    <s v="Style"/>
    <s v="1fo2ctLqj3zBhRQKOXprol"/>
    <n v="231000"/>
    <b v="0"/>
    <n v="3"/>
    <s v="34OkZVpuzBa9y40DCy0LPR"/>
    <x v="18"/>
    <d v="2014-10-27T00:00:00"/>
    <n v="19"/>
    <s v="album"/>
    <s v="Taylor Swift"/>
    <s v="06HL4z0CvFAxyc27GXpf02"/>
    <n v="0.58799999999999997"/>
    <n v="0.79100000000000004"/>
    <n v="-5.5949999999999998"/>
    <n v="4.02E-2"/>
    <n v="2.4499999999999999E-3"/>
    <n v="2.5799999999999998E-3"/>
    <n v="0.11799999999999999"/>
    <n v="0.48699999999999999"/>
  </r>
  <r>
    <s v="Out Of The Woods"/>
    <s v="6Nde5KuTXyB7jlPO4upaBo"/>
    <n v="235800"/>
    <b v="0"/>
    <n v="4"/>
    <s v="34OkZVpuzBa9y40DCy0LPR"/>
    <x v="18"/>
    <d v="2014-10-27T00:00:00"/>
    <n v="19"/>
    <s v="album"/>
    <s v="Taylor Swift"/>
    <s v="06HL4z0CvFAxyc27GXpf02"/>
    <n v="0.55300000000000005"/>
    <n v="0.84099999999999997"/>
    <n v="-6.9370000000000003"/>
    <n v="3.9600000000000003E-2"/>
    <n v="7.4299999999999995E-4"/>
    <n v="1.19E-5"/>
    <n v="0.34100000000000003"/>
    <n v="0.33800000000000002"/>
  </r>
  <r>
    <s v="All You Had To Do Was Stay"/>
    <s v="0lmMtDQ2ElasKU2qDAE6NN"/>
    <n v="193293"/>
    <b v="0"/>
    <n v="5"/>
    <s v="34OkZVpuzBa9y40DCy0LPR"/>
    <x v="18"/>
    <d v="2014-10-27T00:00:00"/>
    <n v="19"/>
    <s v="album"/>
    <s v="Taylor Swift"/>
    <s v="06HL4z0CvFAxyc27GXpf02"/>
    <n v="0.60499999999999998"/>
    <n v="0.72499999999999998"/>
    <n v="-5.7290000000000001"/>
    <n v="3.2300000000000002E-2"/>
    <n v="2.0100000000000001E-3"/>
    <n v="2.02E-5"/>
    <n v="0.10100000000000001"/>
    <n v="0.53900000000000003"/>
  </r>
  <r>
    <s v="Shake It Off"/>
    <s v="3fthfkkvy9av3q3uAGVf7U"/>
    <n v="219200"/>
    <b v="0"/>
    <n v="6"/>
    <s v="34OkZVpuzBa9y40DCy0LPR"/>
    <x v="18"/>
    <d v="2014-10-27T00:00:00"/>
    <n v="19"/>
    <s v="album"/>
    <s v="Taylor Swift"/>
    <s v="06HL4z0CvFAxyc27GXpf02"/>
    <n v="0.64700000000000002"/>
    <n v="0.8"/>
    <n v="-5.3840000000000003"/>
    <n v="0.16500000000000001"/>
    <n v="6.4699999999999994E-2"/>
    <n v="0"/>
    <n v="0.33400000000000002"/>
    <n v="0.94199999999999995"/>
  </r>
  <r>
    <s v="I Wish You Would"/>
    <s v="1B5VzXPqMlvRw0U4HJY3dJ"/>
    <n v="207440"/>
    <b v="0"/>
    <n v="7"/>
    <s v="34OkZVpuzBa9y40DCy0LPR"/>
    <x v="18"/>
    <d v="2014-10-27T00:00:00"/>
    <n v="19"/>
    <s v="album"/>
    <s v="Taylor Swift"/>
    <s v="06HL4z0CvFAxyc27GXpf02"/>
    <n v="0.65300000000000002"/>
    <n v="0.89300000000000002"/>
    <n v="-5.9660000000000002"/>
    <n v="5.3800000000000001E-2"/>
    <n v="1.5800000000000002E-2"/>
    <n v="4.9499999999999997E-5"/>
    <n v="0.10199999999999999"/>
    <n v="0.51300000000000001"/>
  </r>
  <r>
    <s v="Bad Blood"/>
    <s v="0yN4fNzmVnmgC0dsOoi9Wh"/>
    <n v="211933"/>
    <b v="0"/>
    <n v="8"/>
    <s v="34OkZVpuzBa9y40DCy0LPR"/>
    <x v="18"/>
    <d v="2014-10-27T00:00:00"/>
    <n v="19"/>
    <s v="album"/>
    <s v="Taylor Swift"/>
    <s v="06HL4z0CvFAxyc27GXpf02"/>
    <n v="0.64600000000000002"/>
    <n v="0.79400000000000004"/>
    <n v="-6.1040000000000001"/>
    <n v="0.19"/>
    <n v="8.8499999999999995E-2"/>
    <n v="6.1600000000000003E-6"/>
    <n v="0.20100000000000001"/>
    <n v="0.28699999999999998"/>
  </r>
  <r>
    <s v="Wildest Dreams"/>
    <s v="106R7Z57WYzBAfrXImV30y"/>
    <n v="220440"/>
    <b v="0"/>
    <n v="9"/>
    <s v="34OkZVpuzBa9y40DCy0LPR"/>
    <x v="18"/>
    <d v="2014-10-27T00:00:00"/>
    <n v="19"/>
    <s v="album"/>
    <s v="Taylor Swift"/>
    <s v="06HL4z0CvFAxyc27GXpf02"/>
    <n v="0.55000000000000004"/>
    <n v="0.68799999999999994"/>
    <n v="-7.4160000000000004"/>
    <n v="8.9700000000000002E-2"/>
    <n v="6.9199999999999998E-2"/>
    <n v="1.4400000000000001E-3"/>
    <n v="0.106"/>
    <n v="0.46500000000000002"/>
  </r>
  <r>
    <s v="How You Get The Girl"/>
    <s v="6wfugRLamFsTRbPcCpNnP7"/>
    <n v="247533"/>
    <b v="0"/>
    <n v="10"/>
    <s v="34OkZVpuzBa9y40DCy0LPR"/>
    <x v="18"/>
    <d v="2014-10-27T00:00:00"/>
    <n v="19"/>
    <s v="album"/>
    <s v="Taylor Swift"/>
    <s v="06HL4z0CvFAxyc27GXpf02"/>
    <n v="0.76500000000000001"/>
    <n v="0.65600000000000003"/>
    <n v="-6.1120000000000001"/>
    <n v="5.04E-2"/>
    <n v="3.64E-3"/>
    <n v="8.6800000000000002E-3"/>
    <n v="9.1800000000000007E-2"/>
    <n v="0.54500000000000004"/>
  </r>
  <r>
    <s v="This Love"/>
    <s v="1kTPQnabROVkW9bUXdCGrB"/>
    <n v="250093"/>
    <b v="0"/>
    <n v="11"/>
    <s v="34OkZVpuzBa9y40DCy0LPR"/>
    <x v="18"/>
    <d v="2014-10-27T00:00:00"/>
    <n v="19"/>
    <s v="album"/>
    <s v="Taylor Swift"/>
    <s v="06HL4z0CvFAxyc27GXpf02"/>
    <n v="0.48099999999999998"/>
    <n v="0.435"/>
    <n v="-8.7949999999999999"/>
    <n v="3.2099999999999997E-2"/>
    <n v="0.67800000000000005"/>
    <n v="0"/>
    <n v="9.2799999999999994E-2"/>
    <n v="0.107"/>
  </r>
  <r>
    <s v="I Know Places"/>
    <s v="2zfgVd034GlUvk7LqBHl6u"/>
    <n v="195706"/>
    <b v="0"/>
    <n v="12"/>
    <s v="34OkZVpuzBa9y40DCy0LPR"/>
    <x v="18"/>
    <d v="2014-10-27T00:00:00"/>
    <n v="19"/>
    <s v="album"/>
    <s v="Taylor Swift"/>
    <s v="06HL4z0CvFAxyc27GXpf02"/>
    <n v="0.60199999999999998"/>
    <n v="0.755"/>
    <n v="-4.9909999999999997"/>
    <n v="7.0999999999999994E-2"/>
    <n v="0.245"/>
    <n v="0"/>
    <n v="0.17799999999999999"/>
    <n v="0.495"/>
  </r>
  <r>
    <s v="Clean"/>
    <s v="4bXCcoesMt8u99xMsbLr9U"/>
    <n v="271000"/>
    <b v="0"/>
    <n v="13"/>
    <s v="34OkZVpuzBa9y40DCy0LPR"/>
    <x v="18"/>
    <d v="2014-10-27T00:00:00"/>
    <n v="19"/>
    <s v="album"/>
    <s v="Taylor Swift"/>
    <s v="06HL4z0CvFAxyc27GXpf02"/>
    <n v="0.81499999999999995"/>
    <n v="0.377"/>
    <n v="-7.7539999999999996"/>
    <n v="3.4599999999999999E-2"/>
    <n v="0.23200000000000001"/>
    <n v="0"/>
    <n v="0.1"/>
    <n v="0.21099999999999999"/>
  </r>
  <r>
    <s v="Wonderland"/>
    <s v="6iWMI5oOhWrDbLbjmwTWFq"/>
    <n v="245560"/>
    <b v="0"/>
    <n v="14"/>
    <s v="34OkZVpuzBa9y40DCy0LPR"/>
    <x v="18"/>
    <d v="2014-10-27T00:00:00"/>
    <n v="19"/>
    <s v="album"/>
    <s v="Taylor Swift"/>
    <s v="06HL4z0CvFAxyc27GXpf02"/>
    <n v="0.42199999999999999"/>
    <n v="0.69199999999999995"/>
    <n v="-5.4470000000000001"/>
    <n v="5.4899999999999997E-2"/>
    <n v="4.9299999999999997E-2"/>
    <n v="2.5700000000000001E-5"/>
    <n v="0.17699999999999999"/>
    <n v="0.19700000000000001"/>
  </r>
  <r>
    <s v="You Are In Love"/>
    <s v="4A2LfnduSTsE8u0ecYROxE"/>
    <n v="267106"/>
    <b v="0"/>
    <n v="15"/>
    <s v="34OkZVpuzBa9y40DCy0LPR"/>
    <x v="18"/>
    <d v="2014-10-27T00:00:00"/>
    <n v="19"/>
    <s v="album"/>
    <s v="Taylor Swift"/>
    <s v="06HL4z0CvFAxyc27GXpf02"/>
    <n v="0.47399999999999998"/>
    <n v="0.48"/>
    <n v="-8.8940000000000001"/>
    <n v="6.2199999999999998E-2"/>
    <n v="0.70699999999999996"/>
    <n v="1.08E-4"/>
    <n v="9.0300000000000005E-2"/>
    <n v="0.31900000000000001"/>
  </r>
  <r>
    <s v="New Romantics"/>
    <s v="6rZVy6FIG7lSJQMFXHo12z"/>
    <n v="230466"/>
    <b v="0"/>
    <n v="16"/>
    <s v="34OkZVpuzBa9y40DCy0LPR"/>
    <x v="18"/>
    <d v="2014-10-27T00:00:00"/>
    <n v="19"/>
    <s v="album"/>
    <s v="Taylor Swift"/>
    <s v="06HL4z0CvFAxyc27GXpf02"/>
    <n v="0.63300000000000001"/>
    <n v="0.88900000000000001"/>
    <n v="-5.87"/>
    <n v="7.1499999999999994E-2"/>
    <n v="4.6299999999999996E-3"/>
    <n v="4.5800000000000002E-4"/>
    <n v="6.5799999999999997E-2"/>
    <n v="0.58399999999999996"/>
  </r>
  <r>
    <s v="I Know Places - Voice Memo"/>
    <s v="4JQm7ebhsrt10wmrP6AfXL"/>
    <n v="216333"/>
    <b v="0"/>
    <n v="17"/>
    <s v="34OkZVpuzBa9y40DCy0LPR"/>
    <x v="18"/>
    <d v="2014-10-27T00:00:00"/>
    <n v="19"/>
    <s v="album"/>
    <s v="Taylor Swift"/>
    <s v="06HL4z0CvFAxyc27GXpf02"/>
    <n v="0.59199999999999997"/>
    <n v="0.128"/>
    <n v="-17.931999999999999"/>
    <n v="0.58899999999999997"/>
    <n v="0.82899999999999996"/>
    <n v="0"/>
    <n v="0.52700000000000002"/>
    <n v="0.15"/>
  </r>
  <r>
    <s v="I Wish You Would - Voice Memo"/>
    <s v="4TtyvyI42C0KFnbDZvNC8Y"/>
    <n v="107133"/>
    <b v="0"/>
    <n v="18"/>
    <s v="34OkZVpuzBa9y40DCy0LPR"/>
    <x v="18"/>
    <d v="2014-10-27T00:00:00"/>
    <n v="19"/>
    <s v="album"/>
    <s v="Taylor Swift"/>
    <s v="06HL4z0CvFAxyc27GXpf02"/>
    <n v="0.78100000000000003"/>
    <n v="0.35699999999999998"/>
    <n v="-16.393999999999998"/>
    <n v="0.91200000000000003"/>
    <n v="0.71699999999999997"/>
    <n v="0"/>
    <n v="0.185"/>
    <n v="0.64500000000000002"/>
  </r>
  <r>
    <s v="Blank Space - Voice Memo"/>
    <s v="0yisH8r0f3Mkq34kjzUlCV"/>
    <n v="131186"/>
    <b v="0"/>
    <n v="19"/>
    <s v="34OkZVpuzBa9y40DCy0LPR"/>
    <x v="18"/>
    <d v="2014-10-27T00:00:00"/>
    <n v="19"/>
    <s v="album"/>
    <s v="Taylor Swift"/>
    <s v="06HL4z0CvFAxyc27GXpf02"/>
    <n v="0.67500000000000004"/>
    <n v="0.23400000000000001"/>
    <n v="-15.064"/>
    <n v="0.72099999999999997"/>
    <n v="0.80100000000000005"/>
    <n v="0"/>
    <n v="0.65700000000000003"/>
    <n v="0.57799999999999996"/>
  </r>
  <r>
    <s v="Welcome To New York"/>
    <s v="6qnM0XXPZOINWA778uNqQ9"/>
    <n v="212600"/>
    <b v="0"/>
    <n v="1"/>
    <s v="2QJmrSgbdM35R67eoGQo4j"/>
    <x v="19"/>
    <d v="2014-10-27T00:00:00"/>
    <n v="13"/>
    <s v="album"/>
    <s v="Taylor Swift"/>
    <s v="06HL4z0CvFAxyc27GXpf02"/>
    <n v="0.79300000000000004"/>
    <n v="0.63400000000000001"/>
    <n v="-4.8070000000000004"/>
    <n v="3.2399999999999998E-2"/>
    <n v="3.7999999999999999E-2"/>
    <n v="1.7600000000000001E-6"/>
    <n v="0.30399999999999999"/>
    <n v="0.61499999999999999"/>
  </r>
  <r>
    <s v="Blank Space"/>
    <s v="1p80LdxRV74UKvL8gnD7ky"/>
    <n v="231826"/>
    <b v="0"/>
    <n v="2"/>
    <s v="2QJmrSgbdM35R67eoGQo4j"/>
    <x v="19"/>
    <d v="2014-10-27T00:00:00"/>
    <n v="13"/>
    <s v="album"/>
    <s v="Taylor Swift"/>
    <s v="06HL4z0CvFAxyc27GXpf02"/>
    <n v="0.753"/>
    <n v="0.67800000000000005"/>
    <n v="-5.4210000000000003"/>
    <n v="6.4399999999999999E-2"/>
    <n v="8.5000000000000006E-2"/>
    <n v="1.64E-6"/>
    <n v="0.13"/>
    <n v="0.58299999999999996"/>
  </r>
  <r>
    <s v="Style"/>
    <s v="4lIxdJw6W3Fg4vUIYCB0S5"/>
    <n v="231000"/>
    <b v="0"/>
    <n v="3"/>
    <s v="2QJmrSgbdM35R67eoGQo4j"/>
    <x v="19"/>
    <d v="2014-10-27T00:00:00"/>
    <n v="13"/>
    <s v="album"/>
    <s v="Taylor Swift"/>
    <s v="06HL4z0CvFAxyc27GXpf02"/>
    <n v="0.59799999999999998"/>
    <n v="0.78600000000000003"/>
    <n v="-5.5720000000000001"/>
    <n v="3.8300000000000001E-2"/>
    <n v="2.5300000000000001E-3"/>
    <n v="1.6000000000000001E-3"/>
    <n v="0.11700000000000001"/>
    <n v="0.45600000000000002"/>
  </r>
  <r>
    <s v="Out Of The Woods"/>
    <s v="5OndtwLGA9O6XHFcGm2H7r"/>
    <n v="235800"/>
    <b v="0"/>
    <n v="4"/>
    <s v="2QJmrSgbdM35R67eoGQo4j"/>
    <x v="19"/>
    <d v="2014-10-27T00:00:00"/>
    <n v="13"/>
    <s v="album"/>
    <s v="Taylor Swift"/>
    <s v="06HL4z0CvFAxyc27GXpf02"/>
    <n v="0.55200000000000005"/>
    <n v="0.84199999999999997"/>
    <n v="-6.9379999999999997"/>
    <n v="3.73E-2"/>
    <n v="1.0300000000000001E-3"/>
    <n v="1.17E-5"/>
    <n v="0.33700000000000002"/>
    <n v="0.34300000000000003"/>
  </r>
  <r>
    <s v="All You Had To Do Was Stay"/>
    <s v="0dAb8TY433dl3ZfXYCLE19"/>
    <n v="193293"/>
    <b v="0"/>
    <n v="5"/>
    <s v="2QJmrSgbdM35R67eoGQo4j"/>
    <x v="19"/>
    <d v="2014-10-27T00:00:00"/>
    <n v="13"/>
    <s v="album"/>
    <s v="Taylor Swift"/>
    <s v="06HL4z0CvFAxyc27GXpf02"/>
    <n v="0.60199999999999998"/>
    <n v="0.73599999999999999"/>
    <n v="-5.7779999999999996"/>
    <n v="3.3799999999999997E-2"/>
    <n v="1.9599999999999999E-3"/>
    <n v="4.57E-5"/>
    <n v="0.105"/>
    <n v="0.47099999999999997"/>
  </r>
  <r>
    <s v="Shake It Off"/>
    <s v="5xTtaWoae3wi06K5WfVUUH"/>
    <n v="219200"/>
    <b v="0"/>
    <n v="6"/>
    <s v="2QJmrSgbdM35R67eoGQo4j"/>
    <x v="19"/>
    <d v="2014-10-27T00:00:00"/>
    <n v="13"/>
    <s v="album"/>
    <s v="Taylor Swift"/>
    <s v="06HL4z0CvFAxyc27GXpf02"/>
    <n v="0.64700000000000002"/>
    <n v="0.78500000000000003"/>
    <n v="-5.4139999999999997"/>
    <n v="0.16500000000000001"/>
    <n v="5.6099999999999997E-2"/>
    <n v="0"/>
    <n v="0.14799999999999999"/>
    <n v="0.94299999999999995"/>
  </r>
  <r>
    <s v="I Wish You Would"/>
    <s v="3wmN11qXGL0HyPojvEE1D9"/>
    <n v="207440"/>
    <b v="0"/>
    <n v="7"/>
    <s v="2QJmrSgbdM35R67eoGQo4j"/>
    <x v="19"/>
    <d v="2014-10-27T00:00:00"/>
    <n v="13"/>
    <s v="album"/>
    <s v="Taylor Swift"/>
    <s v="06HL4z0CvFAxyc27GXpf02"/>
    <n v="0.64800000000000002"/>
    <n v="0.89800000000000002"/>
    <n v="-5.9630000000000001"/>
    <n v="5.1299999999999998E-2"/>
    <n v="1.6E-2"/>
    <n v="9.9099999999999996E-5"/>
    <n v="0.109"/>
    <n v="0.502"/>
  </r>
  <r>
    <s v="Bad Blood"/>
    <s v="273dCMFseLcVsoSWx59IoE"/>
    <n v="211933"/>
    <b v="0"/>
    <n v="8"/>
    <s v="2QJmrSgbdM35R67eoGQo4j"/>
    <x v="19"/>
    <d v="2014-10-27T00:00:00"/>
    <n v="13"/>
    <s v="album"/>
    <s v="Taylor Swift"/>
    <s v="06HL4z0CvFAxyc27GXpf02"/>
    <n v="0.65"/>
    <n v="0.80200000000000005"/>
    <n v="-6.1139999999999999"/>
    <n v="0.18099999999999999"/>
    <n v="8.7099999999999997E-2"/>
    <n v="6.5400000000000001E-6"/>
    <n v="0.14799999999999999"/>
    <n v="0.29499999999999998"/>
  </r>
  <r>
    <s v="Wildest Dreams"/>
    <s v="59HjlYCeBsxdI0fcm3zglw"/>
    <n v="220440"/>
    <b v="0"/>
    <n v="9"/>
    <s v="2QJmrSgbdM35R67eoGQo4j"/>
    <x v="19"/>
    <d v="2014-10-27T00:00:00"/>
    <n v="13"/>
    <s v="album"/>
    <s v="Taylor Swift"/>
    <s v="06HL4z0CvFAxyc27GXpf02"/>
    <n v="0.55400000000000005"/>
    <n v="0.66600000000000004"/>
    <n v="-7.4139999999999997"/>
    <n v="7.4700000000000003E-2"/>
    <n v="7.0199999999999999E-2"/>
    <n v="5.9300000000000004E-3"/>
    <n v="0.106"/>
    <n v="0.47199999999999998"/>
  </r>
  <r>
    <s v="How You Get The Girl"/>
    <s v="4dYUOfmWna6DFccnz732n8"/>
    <n v="247533"/>
    <b v="0"/>
    <n v="10"/>
    <s v="2QJmrSgbdM35R67eoGQo4j"/>
    <x v="19"/>
    <d v="2014-10-27T00:00:00"/>
    <n v="13"/>
    <s v="album"/>
    <s v="Taylor Swift"/>
    <s v="06HL4z0CvFAxyc27GXpf02"/>
    <n v="0.76400000000000001"/>
    <n v="0.66"/>
    <n v="-6.1360000000000001"/>
    <n v="4.9399999999999999E-2"/>
    <n v="4.6100000000000004E-3"/>
    <n v="4.7699999999999999E-3"/>
    <n v="9.1499999999999998E-2"/>
    <n v="0.52400000000000002"/>
  </r>
  <r>
    <s v="This Love"/>
    <s v="3oKMl2tJv4fdidkXUYMI5x"/>
    <n v="250093"/>
    <b v="0"/>
    <n v="11"/>
    <s v="2QJmrSgbdM35R67eoGQo4j"/>
    <x v="19"/>
    <d v="2014-10-27T00:00:00"/>
    <n v="13"/>
    <s v="album"/>
    <s v="Taylor Swift"/>
    <s v="06HL4z0CvFAxyc27GXpf02"/>
    <n v="0.47499999999999998"/>
    <n v="0.45900000000000002"/>
    <n v="-8.7680000000000007"/>
    <n v="3.3300000000000003E-2"/>
    <n v="0.63500000000000001"/>
    <n v="0"/>
    <n v="0.10100000000000001"/>
    <n v="8.2799999999999999E-2"/>
  </r>
  <r>
    <s v="I Know Places"/>
    <s v="3jBMHD19RZdAqG9iFQh7xc"/>
    <n v="195706"/>
    <b v="0"/>
    <n v="12"/>
    <s v="2QJmrSgbdM35R67eoGQo4j"/>
    <x v="19"/>
    <d v="2014-10-27T00:00:00"/>
    <n v="13"/>
    <s v="album"/>
    <s v="Taylor Swift"/>
    <s v="06HL4z0CvFAxyc27GXpf02"/>
    <n v="0.59599999999999997"/>
    <n v="0.76300000000000001"/>
    <n v="-4.99"/>
    <n v="6.6100000000000006E-2"/>
    <n v="0.23100000000000001"/>
    <n v="0"/>
    <n v="0.2"/>
    <n v="0.50700000000000001"/>
  </r>
  <r>
    <s v="Clean"/>
    <s v="06WgOCf0LV2h4keYXDRnuh"/>
    <n v="271000"/>
    <b v="0"/>
    <n v="13"/>
    <s v="2QJmrSgbdM35R67eoGQo4j"/>
    <x v="19"/>
    <d v="2014-10-27T00:00:00"/>
    <n v="13"/>
    <s v="album"/>
    <s v="Taylor Swift"/>
    <s v="06HL4z0CvFAxyc27GXpf02"/>
    <n v="0.81"/>
    <n v="0.379"/>
    <n v="-7.7709999999999999"/>
    <n v="3.49E-2"/>
    <n v="0.24099999999999999"/>
    <n v="0"/>
    <n v="0.113"/>
    <n v="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A5AA6-8794-2642-BF7D-A3EA2B06DDEE}"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W6:AR8" firstHeaderRow="1" firstDataRow="2" firstDataCol="1"/>
  <pivotFields count="20">
    <pivotField showAll="0"/>
    <pivotField showAll="0"/>
    <pivotField showAll="0"/>
    <pivotField showAll="0"/>
    <pivotField showAll="0"/>
    <pivotField showAll="0"/>
    <pivotField axis="axisCol" showAll="0">
      <items count="21">
        <item x="19"/>
        <item x="18"/>
        <item x="3"/>
        <item x="2"/>
        <item x="11"/>
        <item x="10"/>
        <item x="9"/>
        <item x="14"/>
        <item x="13"/>
        <item x="12"/>
        <item x="15"/>
        <item x="7"/>
        <item x="6"/>
        <item x="5"/>
        <item x="8"/>
        <item x="16"/>
        <item x="17"/>
        <item x="4"/>
        <item x="1"/>
        <item x="0"/>
        <item t="default"/>
      </items>
    </pivotField>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Fields count="1">
    <field x="6"/>
  </colFields>
  <colItems count="21">
    <i>
      <x/>
    </i>
    <i>
      <x v="1"/>
    </i>
    <i>
      <x v="2"/>
    </i>
    <i>
      <x v="3"/>
    </i>
    <i>
      <x v="4"/>
    </i>
    <i>
      <x v="5"/>
    </i>
    <i>
      <x v="6"/>
    </i>
    <i>
      <x v="7"/>
    </i>
    <i>
      <x v="8"/>
    </i>
    <i>
      <x v="9"/>
    </i>
    <i>
      <x v="10"/>
    </i>
    <i>
      <x v="11"/>
    </i>
    <i>
      <x v="12"/>
    </i>
    <i>
      <x v="13"/>
    </i>
    <i>
      <x v="14"/>
    </i>
    <i>
      <x v="15"/>
    </i>
    <i>
      <x v="16"/>
    </i>
    <i>
      <x v="17"/>
    </i>
    <i>
      <x v="18"/>
    </i>
    <i>
      <x v="19"/>
    </i>
    <i t="grand">
      <x/>
    </i>
  </colItems>
  <dataFields count="1">
    <dataField name="Average of danceability" fld="12" subtotal="average" baseField="0" baseItem="0"/>
  </dataFields>
  <formats count="17">
    <format dxfId="16">
      <pivotArea dataOnly="0" labelOnly="1" fieldPosition="0">
        <references count="1">
          <reference field="6" count="4">
            <x v="0"/>
            <x v="1"/>
            <x v="2"/>
            <x v="3"/>
          </reference>
        </references>
      </pivotArea>
    </format>
    <format dxfId="15">
      <pivotArea dataOnly="0" labelOnly="1" fieldPosition="0">
        <references count="1">
          <reference field="6" count="2">
            <x v="4"/>
            <x v="5"/>
          </reference>
        </references>
      </pivotArea>
    </format>
    <format dxfId="14">
      <pivotArea dataOnly="0" labelOnly="1" fieldPosition="0">
        <references count="1">
          <reference field="6" count="1">
            <x v="6"/>
          </reference>
        </references>
      </pivotArea>
    </format>
    <format dxfId="13">
      <pivotArea dataOnly="0" labelOnly="1" fieldPosition="0">
        <references count="1">
          <reference field="6" count="1">
            <x v="6"/>
          </reference>
        </references>
      </pivotArea>
    </format>
    <format dxfId="12">
      <pivotArea dataOnly="0" labelOnly="1" fieldPosition="0">
        <references count="1">
          <reference field="6" count="3">
            <x v="7"/>
            <x v="8"/>
            <x v="9"/>
          </reference>
        </references>
      </pivotArea>
    </format>
    <format dxfId="11">
      <pivotArea dataOnly="0" labelOnly="1" fieldPosition="0">
        <references count="1">
          <reference field="6" count="1">
            <x v="10"/>
          </reference>
        </references>
      </pivotArea>
    </format>
    <format dxfId="10">
      <pivotArea dataOnly="0" labelOnly="1" fieldPosition="0">
        <references count="1">
          <reference field="6" count="1">
            <x v="11"/>
          </reference>
        </references>
      </pivotArea>
    </format>
    <format dxfId="9">
      <pivotArea dataOnly="0" labelOnly="1" fieldPosition="0">
        <references count="1">
          <reference field="6" count="1">
            <x v="12"/>
          </reference>
        </references>
      </pivotArea>
    </format>
    <format dxfId="8">
      <pivotArea dataOnly="0" labelOnly="1" fieldPosition="0">
        <references count="1">
          <reference field="6" count="1">
            <x v="13"/>
          </reference>
        </references>
      </pivotArea>
    </format>
    <format dxfId="7">
      <pivotArea dataOnly="0" labelOnly="1" fieldPosition="0">
        <references count="1">
          <reference field="6" count="1">
            <x v="14"/>
          </reference>
        </references>
      </pivotArea>
    </format>
    <format dxfId="6">
      <pivotArea dataOnly="0" labelOnly="1" fieldPosition="0">
        <references count="1">
          <reference field="6" count="2">
            <x v="15"/>
            <x v="16"/>
          </reference>
        </references>
      </pivotArea>
    </format>
    <format dxfId="5">
      <pivotArea dataOnly="0" labelOnly="1" fieldPosition="0">
        <references count="1">
          <reference field="6" count="1">
            <x v="17"/>
          </reference>
        </references>
      </pivotArea>
    </format>
    <format dxfId="4">
      <pivotArea dataOnly="0" labelOnly="1" fieldPosition="0">
        <references count="1">
          <reference field="6" count="1">
            <x v="17"/>
          </reference>
        </references>
      </pivotArea>
    </format>
    <format dxfId="3">
      <pivotArea dataOnly="0" labelOnly="1" fieldPosition="0">
        <references count="1">
          <reference field="6" count="2">
            <x v="18"/>
            <x v="19"/>
          </reference>
        </references>
      </pivotArea>
    </format>
    <format dxfId="2">
      <pivotArea dataOnly="0" labelOnly="1" fieldPosition="0">
        <references count="1">
          <reference field="6" count="2">
            <x v="18"/>
            <x v="19"/>
          </reference>
        </references>
      </pivotArea>
    </format>
    <format dxfId="1">
      <pivotArea outline="0" collapsedLevelsAreSubtotals="1" fieldPosition="0">
        <references count="1">
          <reference field="6" count="1" selected="0">
            <x v="10"/>
          </reference>
        </references>
      </pivotArea>
    </format>
    <format dxfId="0">
      <pivotArea outline="0" collapsedLevelsAreSubtotals="1" fieldPosition="0">
        <references count="1">
          <reference field="6" count="1" selected="0">
            <x v="4"/>
          </reference>
        </references>
      </pivotArea>
    </format>
  </formats>
  <chartFormats count="2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2">
          <reference field="4294967294" count="1" selected="0">
            <x v="0"/>
          </reference>
          <reference field="6" count="1" selected="0">
            <x v="12"/>
          </reference>
        </references>
      </pivotArea>
    </chartFormat>
    <chartFormat chart="0" format="13" series="1">
      <pivotArea type="data" outline="0" fieldPosition="0">
        <references count="2">
          <reference field="4294967294" count="1" selected="0">
            <x v="0"/>
          </reference>
          <reference field="6" count="1" selected="0">
            <x v="13"/>
          </reference>
        </references>
      </pivotArea>
    </chartFormat>
    <chartFormat chart="0" format="14" series="1">
      <pivotArea type="data" outline="0" fieldPosition="0">
        <references count="2">
          <reference field="4294967294" count="1" selected="0">
            <x v="0"/>
          </reference>
          <reference field="6" count="1" selected="0">
            <x v="14"/>
          </reference>
        </references>
      </pivotArea>
    </chartFormat>
    <chartFormat chart="0" format="15" series="1">
      <pivotArea type="data" outline="0" fieldPosition="0">
        <references count="2">
          <reference field="4294967294" count="1" selected="0">
            <x v="0"/>
          </reference>
          <reference field="6" count="1" selected="0">
            <x v="15"/>
          </reference>
        </references>
      </pivotArea>
    </chartFormat>
    <chartFormat chart="0" format="16" series="1">
      <pivotArea type="data" outline="0" fieldPosition="0">
        <references count="2">
          <reference field="4294967294" count="1" selected="0">
            <x v="0"/>
          </reference>
          <reference field="6" count="1" selected="0">
            <x v="16"/>
          </reference>
        </references>
      </pivotArea>
    </chartFormat>
    <chartFormat chart="0" format="17" series="1">
      <pivotArea type="data" outline="0" fieldPosition="0">
        <references count="2">
          <reference field="4294967294" count="1" selected="0">
            <x v="0"/>
          </reference>
          <reference field="6" count="1" selected="0">
            <x v="17"/>
          </reference>
        </references>
      </pivotArea>
    </chartFormat>
    <chartFormat chart="0" format="18" series="1">
      <pivotArea type="data" outline="0" fieldPosition="0">
        <references count="2">
          <reference field="4294967294" count="1" selected="0">
            <x v="0"/>
          </reference>
          <reference field="6" count="1" selected="0">
            <x v="18"/>
          </reference>
        </references>
      </pivotArea>
    </chartFormat>
    <chartFormat chart="0" format="19" series="1">
      <pivotArea type="data" outline="0" fieldPosition="0">
        <references count="2">
          <reference field="4294967294" count="1" selected="0">
            <x v="0"/>
          </reference>
          <reference field="6" count="1" selected="0">
            <x v="1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1763-A791-6C40-8739-7C8E0EF9ECC6}">
  <dimension ref="A1:I14"/>
  <sheetViews>
    <sheetView zoomScale="200" zoomScaleNormal="200" workbookViewId="0">
      <selection activeCell="A9" sqref="A9:I9"/>
    </sheetView>
  </sheetViews>
  <sheetFormatPr baseColWidth="10" defaultRowHeight="13" x14ac:dyDescent="0.15"/>
  <sheetData>
    <row r="1" spans="1:9" ht="14" thickBot="1" x14ac:dyDescent="0.2">
      <c r="A1" s="53" t="s">
        <v>1</v>
      </c>
      <c r="B1" s="54"/>
      <c r="C1" s="54"/>
      <c r="D1" s="54"/>
      <c r="E1" s="54"/>
      <c r="F1" s="54"/>
      <c r="G1" s="54"/>
      <c r="H1" s="54"/>
      <c r="I1" s="55"/>
    </row>
    <row r="2" spans="1:9" ht="13" customHeight="1" x14ac:dyDescent="0.15">
      <c r="A2" s="56" t="s">
        <v>0</v>
      </c>
      <c r="B2" s="56"/>
      <c r="C2" s="56"/>
      <c r="D2" s="56"/>
      <c r="E2" s="56"/>
      <c r="F2" s="56"/>
      <c r="G2" s="56"/>
      <c r="H2" s="56"/>
      <c r="I2" s="56"/>
    </row>
    <row r="3" spans="1:9" x14ac:dyDescent="0.15">
      <c r="A3" s="57"/>
      <c r="B3" s="57"/>
      <c r="C3" s="57"/>
      <c r="D3" s="57"/>
      <c r="E3" s="57"/>
      <c r="F3" s="57"/>
      <c r="G3" s="57"/>
      <c r="H3" s="57"/>
      <c r="I3" s="57"/>
    </row>
    <row r="4" spans="1:9" x14ac:dyDescent="0.15">
      <c r="A4" s="57"/>
      <c r="B4" s="57"/>
      <c r="C4" s="57"/>
      <c r="D4" s="57"/>
      <c r="E4" s="57"/>
      <c r="F4" s="57"/>
      <c r="G4" s="57"/>
      <c r="H4" s="57"/>
      <c r="I4" s="57"/>
    </row>
    <row r="5" spans="1:9" x14ac:dyDescent="0.15">
      <c r="A5" s="57"/>
      <c r="B5" s="57"/>
      <c r="C5" s="57"/>
      <c r="D5" s="57"/>
      <c r="E5" s="57"/>
      <c r="F5" s="57"/>
      <c r="G5" s="57"/>
      <c r="H5" s="57"/>
      <c r="I5" s="57"/>
    </row>
    <row r="6" spans="1:9" x14ac:dyDescent="0.15">
      <c r="A6" s="57"/>
      <c r="B6" s="57"/>
      <c r="C6" s="57"/>
      <c r="D6" s="57"/>
      <c r="E6" s="57"/>
      <c r="F6" s="57"/>
      <c r="G6" s="57"/>
      <c r="H6" s="57"/>
      <c r="I6" s="57"/>
    </row>
    <row r="8" spans="1:9" ht="14" thickBot="1" x14ac:dyDescent="0.2"/>
    <row r="9" spans="1:9" ht="14" thickBot="1" x14ac:dyDescent="0.2">
      <c r="A9" s="58" t="s">
        <v>3</v>
      </c>
      <c r="B9" s="59"/>
      <c r="C9" s="59"/>
      <c r="D9" s="59"/>
      <c r="E9" s="59"/>
      <c r="F9" s="59"/>
      <c r="G9" s="59"/>
      <c r="H9" s="59"/>
      <c r="I9" s="60"/>
    </row>
    <row r="10" spans="1:9" x14ac:dyDescent="0.15">
      <c r="A10" s="61" t="s">
        <v>2</v>
      </c>
      <c r="B10" s="62"/>
      <c r="C10" s="62"/>
      <c r="D10" s="62"/>
      <c r="E10" s="62"/>
      <c r="F10" s="62"/>
      <c r="G10" s="62"/>
      <c r="H10" s="62"/>
      <c r="I10" s="62"/>
    </row>
    <row r="11" spans="1:9" x14ac:dyDescent="0.15">
      <c r="A11" s="63"/>
      <c r="B11" s="63"/>
      <c r="C11" s="63"/>
      <c r="D11" s="63"/>
      <c r="E11" s="63"/>
      <c r="F11" s="63"/>
      <c r="G11" s="63"/>
      <c r="H11" s="63"/>
      <c r="I11" s="63"/>
    </row>
    <row r="12" spans="1:9" x14ac:dyDescent="0.15">
      <c r="A12" s="63"/>
      <c r="B12" s="63"/>
      <c r="C12" s="63"/>
      <c r="D12" s="63"/>
      <c r="E12" s="63"/>
      <c r="F12" s="63"/>
      <c r="G12" s="63"/>
      <c r="H12" s="63"/>
      <c r="I12" s="63"/>
    </row>
    <row r="13" spans="1:9" x14ac:dyDescent="0.15">
      <c r="A13" s="63"/>
      <c r="B13" s="63"/>
      <c r="C13" s="63"/>
      <c r="D13" s="63"/>
      <c r="E13" s="63"/>
      <c r="F13" s="63"/>
      <c r="G13" s="63"/>
      <c r="H13" s="63"/>
      <c r="I13" s="63"/>
    </row>
    <row r="14" spans="1:9" x14ac:dyDescent="0.15">
      <c r="A14" s="63"/>
      <c r="B14" s="63"/>
      <c r="C14" s="63"/>
      <c r="D14" s="63"/>
      <c r="E14" s="63"/>
      <c r="F14" s="63"/>
      <c r="G14" s="63"/>
      <c r="H14" s="63"/>
      <c r="I14" s="63"/>
    </row>
  </sheetData>
  <mergeCells count="4">
    <mergeCell ref="A1:I1"/>
    <mergeCell ref="A2:I6"/>
    <mergeCell ref="A9:I9"/>
    <mergeCell ref="A10: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C40C-F51C-AB44-9867-2AAF8DCE18C7}">
  <dimension ref="A1:M19"/>
  <sheetViews>
    <sheetView tabSelected="1" topLeftCell="C1" zoomScale="160" zoomScaleNormal="160" workbookViewId="0">
      <selection activeCell="L5" sqref="L5"/>
    </sheetView>
  </sheetViews>
  <sheetFormatPr baseColWidth="10" defaultRowHeight="13" x14ac:dyDescent="0.15"/>
  <cols>
    <col min="2" max="2" width="12.33203125" bestFit="1" customWidth="1"/>
    <col min="3" max="3" width="15" bestFit="1" customWidth="1"/>
    <col min="4" max="4" width="7.6640625" bestFit="1" customWidth="1"/>
    <col min="5" max="5" width="11.6640625" bestFit="1" customWidth="1"/>
    <col min="7" max="7" width="18.83203125" customWidth="1"/>
    <col min="8" max="8" width="16.33203125" customWidth="1"/>
    <col min="9" max="9" width="17.6640625" customWidth="1"/>
    <col min="11" max="12" width="11.6640625" bestFit="1" customWidth="1"/>
  </cols>
  <sheetData>
    <row r="1" spans="1:13" ht="28" x14ac:dyDescent="0.15">
      <c r="B1" s="3" t="s">
        <v>7</v>
      </c>
      <c r="C1" s="3" t="s">
        <v>8</v>
      </c>
      <c r="D1" s="3" t="s">
        <v>9</v>
      </c>
      <c r="E1" s="3" t="s">
        <v>4</v>
      </c>
      <c r="F1" s="3" t="s">
        <v>822</v>
      </c>
      <c r="G1" s="96" t="s">
        <v>12</v>
      </c>
      <c r="H1" s="97">
        <f>MEDIAN(F2:F16)</f>
        <v>0</v>
      </c>
      <c r="I1" s="100" t="s">
        <v>826</v>
      </c>
    </row>
    <row r="2" spans="1:13" ht="28" x14ac:dyDescent="0.15">
      <c r="A2" s="4">
        <v>1</v>
      </c>
      <c r="B2" s="2">
        <v>885</v>
      </c>
      <c r="C2" s="2">
        <v>382</v>
      </c>
      <c r="D2" s="2">
        <v>800</v>
      </c>
      <c r="E2" s="3" t="s">
        <v>5</v>
      </c>
      <c r="F2" s="3">
        <v>1</v>
      </c>
      <c r="G2" s="98" t="s">
        <v>13</v>
      </c>
      <c r="H2" s="98" t="s">
        <v>823</v>
      </c>
      <c r="I2" s="98" t="s">
        <v>824</v>
      </c>
    </row>
    <row r="3" spans="1:13" ht="14" x14ac:dyDescent="0.15">
      <c r="A3" s="4">
        <v>2</v>
      </c>
      <c r="B3" s="2">
        <v>1016</v>
      </c>
      <c r="C3" s="2">
        <v>468</v>
      </c>
      <c r="D3" s="2">
        <v>950</v>
      </c>
      <c r="E3" s="3" t="s">
        <v>5</v>
      </c>
      <c r="F3" s="3">
        <v>1</v>
      </c>
      <c r="G3" s="98">
        <f>AVERAGE((D2:D16))</f>
        <v>706.66666666666663</v>
      </c>
      <c r="H3" s="99">
        <f>AVERAGE(D2:D8)</f>
        <v>796.42857142857144</v>
      </c>
      <c r="I3" s="99">
        <f>AVERAGE(D9:D16)</f>
        <v>628.125</v>
      </c>
    </row>
    <row r="4" spans="1:13" ht="14" x14ac:dyDescent="0.15">
      <c r="A4" s="4">
        <v>3</v>
      </c>
      <c r="B4" s="2">
        <v>1125</v>
      </c>
      <c r="C4" s="2">
        <v>387</v>
      </c>
      <c r="D4" s="2">
        <v>1050</v>
      </c>
      <c r="E4" s="3" t="s">
        <v>5</v>
      </c>
      <c r="F4" s="3">
        <v>1</v>
      </c>
    </row>
    <row r="5" spans="1:13" ht="28" x14ac:dyDescent="0.15">
      <c r="A5" s="4">
        <v>4</v>
      </c>
      <c r="B5" s="2">
        <v>239</v>
      </c>
      <c r="C5" s="2">
        <v>371</v>
      </c>
      <c r="D5" s="2">
        <v>350</v>
      </c>
      <c r="E5" s="3" t="s">
        <v>5</v>
      </c>
      <c r="F5" s="3">
        <v>1</v>
      </c>
      <c r="G5" s="94" t="s">
        <v>825</v>
      </c>
      <c r="H5" s="94" t="s">
        <v>827</v>
      </c>
      <c r="I5" s="94" t="s">
        <v>828</v>
      </c>
    </row>
    <row r="6" spans="1:13" ht="14" x14ac:dyDescent="0.15">
      <c r="A6" s="4">
        <v>5</v>
      </c>
      <c r="B6" s="2">
        <v>701</v>
      </c>
      <c r="C6" s="2">
        <v>371</v>
      </c>
      <c r="D6" s="2">
        <v>750</v>
      </c>
      <c r="E6" s="3" t="s">
        <v>5</v>
      </c>
      <c r="F6" s="3">
        <v>1</v>
      </c>
      <c r="G6" s="95">
        <f>_xlfn.VAR.S(B2:B16)</f>
        <v>115518.3523809524</v>
      </c>
      <c r="H6" s="95">
        <f>_xlfn.VAR.S(B2:B8)</f>
        <v>114100.6190476191</v>
      </c>
      <c r="I6" s="95">
        <f>_xlfn.VAR.S(B9:B16)</f>
        <v>132979.71428571429</v>
      </c>
    </row>
    <row r="7" spans="1:13" ht="28" x14ac:dyDescent="0.15">
      <c r="A7" s="4">
        <v>6</v>
      </c>
      <c r="B7" s="2">
        <v>641</v>
      </c>
      <c r="C7" s="2">
        <v>367</v>
      </c>
      <c r="D7" s="2">
        <v>600</v>
      </c>
      <c r="E7" s="3" t="s">
        <v>5</v>
      </c>
      <c r="F7" s="3">
        <v>1</v>
      </c>
      <c r="H7" s="106" t="s">
        <v>829</v>
      </c>
      <c r="I7" s="106" t="s">
        <v>830</v>
      </c>
    </row>
    <row r="8" spans="1:13" ht="14" x14ac:dyDescent="0.15">
      <c r="A8" s="4">
        <v>7</v>
      </c>
      <c r="B8" s="2">
        <v>1228</v>
      </c>
      <c r="C8" s="2">
        <v>396</v>
      </c>
      <c r="D8" s="2">
        <v>1075</v>
      </c>
      <c r="E8" s="3" t="s">
        <v>5</v>
      </c>
      <c r="F8" s="3">
        <v>1</v>
      </c>
      <c r="H8" s="95">
        <f>AVERAGE(B2:B8)</f>
        <v>833.57142857142856</v>
      </c>
      <c r="I8" s="95">
        <f>AVERAGE(B9:B16)</f>
        <v>855.5</v>
      </c>
    </row>
    <row r="9" spans="1:13" ht="14" x14ac:dyDescent="0.15">
      <c r="A9" s="4">
        <v>8</v>
      </c>
      <c r="B9" s="2">
        <v>412</v>
      </c>
      <c r="C9" s="2">
        <v>257</v>
      </c>
      <c r="D9" s="2">
        <v>250</v>
      </c>
      <c r="E9" s="3" t="s">
        <v>6</v>
      </c>
      <c r="F9" s="3">
        <v>0</v>
      </c>
      <c r="G9" s="105" t="s">
        <v>831</v>
      </c>
      <c r="H9" s="104"/>
      <c r="I9" s="104"/>
      <c r="J9" s="104"/>
      <c r="K9" s="104"/>
      <c r="L9" s="104"/>
      <c r="M9" s="104"/>
    </row>
    <row r="10" spans="1:13" ht="14" x14ac:dyDescent="0.15">
      <c r="A10" s="4">
        <v>9</v>
      </c>
      <c r="B10" s="2">
        <v>953</v>
      </c>
      <c r="C10" s="2">
        <v>300</v>
      </c>
      <c r="D10" s="2">
        <v>700</v>
      </c>
      <c r="E10" s="3" t="s">
        <v>6</v>
      </c>
      <c r="F10" s="3">
        <v>0</v>
      </c>
      <c r="G10" s="104"/>
      <c r="H10" s="104"/>
      <c r="I10" s="104"/>
      <c r="J10" s="104"/>
      <c r="K10" s="104"/>
      <c r="L10" s="104"/>
      <c r="M10" s="104"/>
    </row>
    <row r="11" spans="1:13" ht="14" x14ac:dyDescent="0.15">
      <c r="A11" s="4">
        <v>10</v>
      </c>
      <c r="B11" s="2">
        <v>929</v>
      </c>
      <c r="C11" s="2">
        <v>301</v>
      </c>
      <c r="D11" s="2">
        <v>650</v>
      </c>
      <c r="E11" s="3" t="s">
        <v>6</v>
      </c>
      <c r="F11" s="3">
        <v>0</v>
      </c>
      <c r="G11" s="104"/>
      <c r="H11" s="104"/>
      <c r="I11" s="104"/>
      <c r="J11" s="104"/>
      <c r="K11" s="104"/>
      <c r="L11" s="104"/>
      <c r="M11" s="104"/>
    </row>
    <row r="12" spans="1:13" ht="14" x14ac:dyDescent="0.15">
      <c r="A12" s="4">
        <v>11</v>
      </c>
      <c r="B12" s="2">
        <v>1492</v>
      </c>
      <c r="C12" s="2">
        <v>403</v>
      </c>
      <c r="D12" s="2">
        <v>975</v>
      </c>
      <c r="E12" s="3" t="s">
        <v>6</v>
      </c>
      <c r="F12" s="3">
        <v>0</v>
      </c>
      <c r="G12" s="104"/>
      <c r="H12" s="104"/>
      <c r="I12" s="104"/>
      <c r="J12" s="104"/>
      <c r="K12" s="104"/>
      <c r="L12" s="104"/>
      <c r="M12" s="104"/>
    </row>
    <row r="13" spans="1:13" ht="14" x14ac:dyDescent="0.15">
      <c r="A13" s="4">
        <v>12</v>
      </c>
      <c r="B13" s="2">
        <v>419</v>
      </c>
      <c r="C13" s="2">
        <v>213</v>
      </c>
      <c r="D13" s="2">
        <v>350</v>
      </c>
      <c r="E13" s="3" t="s">
        <v>6</v>
      </c>
      <c r="F13" s="3">
        <v>0</v>
      </c>
      <c r="G13" s="104"/>
      <c r="H13" s="104"/>
      <c r="I13" s="104"/>
      <c r="J13" s="104"/>
      <c r="K13" s="104"/>
      <c r="L13" s="104"/>
      <c r="M13" s="104"/>
    </row>
    <row r="14" spans="1:13" ht="14" x14ac:dyDescent="0.15">
      <c r="A14" s="4">
        <v>13</v>
      </c>
      <c r="B14" s="2">
        <v>1010</v>
      </c>
      <c r="C14" s="2">
        <v>432</v>
      </c>
      <c r="D14" s="2">
        <v>950</v>
      </c>
      <c r="E14" s="3" t="s">
        <v>6</v>
      </c>
      <c r="F14" s="3">
        <v>0</v>
      </c>
      <c r="G14" s="104"/>
      <c r="H14" s="104"/>
      <c r="I14" s="104"/>
      <c r="J14" s="104"/>
      <c r="K14" s="104"/>
      <c r="L14" s="104"/>
      <c r="M14" s="104"/>
    </row>
    <row r="15" spans="1:13" ht="14" x14ac:dyDescent="0.15">
      <c r="A15" s="4">
        <v>14</v>
      </c>
      <c r="B15" s="2">
        <v>595</v>
      </c>
      <c r="C15" s="2">
        <v>262</v>
      </c>
      <c r="D15" s="2">
        <v>425</v>
      </c>
      <c r="E15" s="3" t="s">
        <v>6</v>
      </c>
      <c r="F15" s="3">
        <v>0</v>
      </c>
      <c r="G15" s="104"/>
      <c r="H15" s="104"/>
      <c r="I15" s="104"/>
      <c r="J15" s="104"/>
      <c r="K15" s="104"/>
      <c r="L15" s="104"/>
      <c r="M15" s="104"/>
    </row>
    <row r="16" spans="1:13" ht="14" x14ac:dyDescent="0.15">
      <c r="A16" s="4">
        <v>15</v>
      </c>
      <c r="B16" s="2">
        <v>1034</v>
      </c>
      <c r="C16" s="2">
        <v>380</v>
      </c>
      <c r="D16" s="2">
        <v>725</v>
      </c>
      <c r="E16" s="3" t="s">
        <v>6</v>
      </c>
      <c r="F16" s="3">
        <v>0</v>
      </c>
      <c r="G16" s="104"/>
      <c r="H16" s="104"/>
      <c r="I16" s="104"/>
      <c r="J16" s="104"/>
      <c r="K16" s="104"/>
      <c r="L16" s="104"/>
      <c r="M16" s="104"/>
    </row>
    <row r="17" spans="2:13" x14ac:dyDescent="0.15">
      <c r="G17" s="104"/>
      <c r="H17" s="104"/>
      <c r="I17" s="104"/>
      <c r="J17" s="104"/>
      <c r="K17" s="104"/>
      <c r="L17" s="104"/>
      <c r="M17" s="104"/>
    </row>
    <row r="18" spans="2:13" ht="14" thickBot="1" x14ac:dyDescent="0.2"/>
    <row r="19" spans="2:13" ht="14" thickBot="1" x14ac:dyDescent="0.2">
      <c r="B19" s="101"/>
      <c r="C19" s="102"/>
      <c r="D19" s="102"/>
      <c r="E19" s="103"/>
    </row>
  </sheetData>
  <mergeCells count="1">
    <mergeCell ref="G9:M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57D5-A553-3B48-8231-C5F7381BCF2B}">
  <dimension ref="A1:K24"/>
  <sheetViews>
    <sheetView topLeftCell="B1" zoomScale="182" zoomScaleNormal="180" workbookViewId="0">
      <selection activeCell="G6" sqref="G6"/>
    </sheetView>
  </sheetViews>
  <sheetFormatPr baseColWidth="10" defaultRowHeight="13" x14ac:dyDescent="0.15"/>
  <cols>
    <col min="1" max="1" width="17.1640625" customWidth="1"/>
    <col min="2" max="2" width="17.6640625" customWidth="1"/>
    <col min="4" max="5" width="11.6640625" bestFit="1" customWidth="1"/>
    <col min="7" max="7" width="10" customWidth="1"/>
    <col min="8" max="8" width="13.6640625" customWidth="1"/>
    <col min="9" max="9" width="13.5" customWidth="1"/>
    <col min="10" max="10" width="12.33203125" bestFit="1" customWidth="1"/>
  </cols>
  <sheetData>
    <row r="1" spans="1:11" ht="15" customHeight="1" thickBot="1" x14ac:dyDescent="0.25">
      <c r="A1" s="15" t="s">
        <v>14</v>
      </c>
      <c r="B1" s="15" t="s">
        <v>15</v>
      </c>
      <c r="C1" s="16"/>
      <c r="D1" s="77" t="s">
        <v>16</v>
      </c>
      <c r="E1" s="77"/>
    </row>
    <row r="2" spans="1:11" ht="14" customHeight="1" thickBot="1" x14ac:dyDescent="0.25">
      <c r="A2" s="1">
        <v>12.4</v>
      </c>
      <c r="B2" s="1">
        <v>11.2</v>
      </c>
      <c r="E2" s="64" t="s">
        <v>24</v>
      </c>
      <c r="F2" s="78"/>
      <c r="G2" s="78"/>
      <c r="H2" s="78"/>
      <c r="I2" s="78"/>
      <c r="J2" s="65"/>
    </row>
    <row r="3" spans="1:11" ht="15" x14ac:dyDescent="0.2">
      <c r="A3" s="1">
        <v>14.3</v>
      </c>
      <c r="B3" s="1">
        <v>12.5</v>
      </c>
      <c r="D3" s="25" t="s">
        <v>17</v>
      </c>
      <c r="E3" s="18" t="s">
        <v>18</v>
      </c>
      <c r="F3" s="19" t="s">
        <v>19</v>
      </c>
      <c r="G3" s="19" t="s">
        <v>23</v>
      </c>
      <c r="H3" s="19" t="s">
        <v>20</v>
      </c>
      <c r="I3" s="19" t="s">
        <v>21</v>
      </c>
      <c r="J3" s="20" t="s">
        <v>22</v>
      </c>
      <c r="K3" s="17"/>
    </row>
    <row r="4" spans="1:11" ht="15" customHeight="1" thickBot="1" x14ac:dyDescent="0.25">
      <c r="A4" s="1">
        <v>14.5</v>
      </c>
      <c r="B4" s="1">
        <v>12.7</v>
      </c>
      <c r="D4" s="26">
        <f>CORREL(A:A, B:B)</f>
        <v>0.99854049665081368</v>
      </c>
      <c r="E4" s="21">
        <f>STDEV(A2:A24)</f>
        <v>2.4139007842178293</v>
      </c>
      <c r="F4" s="22">
        <f>STDEV(B2:B24)</f>
        <v>2.0575802204619618</v>
      </c>
      <c r="G4" s="22">
        <f>D4*(E4/F4)</f>
        <v>1.1714623147949434</v>
      </c>
      <c r="H4" s="22">
        <f>AVERAGE(A:A)</f>
        <v>17.465217391304346</v>
      </c>
      <c r="I4" s="23">
        <f>AVERAGE(B:B)</f>
        <v>15.3</v>
      </c>
      <c r="J4" s="24">
        <f>I4-(G4*H4)</f>
        <v>-5.1598439936142917</v>
      </c>
    </row>
    <row r="5" spans="1:11" ht="16" thickBot="1" x14ac:dyDescent="0.25">
      <c r="A5" s="1">
        <v>14.9</v>
      </c>
      <c r="B5" s="1">
        <v>13.1</v>
      </c>
      <c r="E5" s="17"/>
      <c r="F5" s="17"/>
      <c r="G5" s="17"/>
      <c r="H5" s="17"/>
    </row>
    <row r="6" spans="1:11" ht="16" customHeight="1" x14ac:dyDescent="0.2">
      <c r="A6" s="1">
        <v>16.100000000000001</v>
      </c>
      <c r="B6" s="1">
        <v>14.1</v>
      </c>
      <c r="D6" s="79" t="s">
        <v>27</v>
      </c>
      <c r="E6" s="80"/>
      <c r="H6" s="64" t="s">
        <v>28</v>
      </c>
      <c r="I6" s="65"/>
    </row>
    <row r="7" spans="1:11" ht="16" thickBot="1" x14ac:dyDescent="0.25">
      <c r="A7" s="1">
        <v>16.899999999999999</v>
      </c>
      <c r="B7" s="1">
        <v>14.8</v>
      </c>
      <c r="D7" s="27" t="s">
        <v>25</v>
      </c>
      <c r="E7" s="28">
        <v>25.2</v>
      </c>
      <c r="H7" s="66" t="s">
        <v>29</v>
      </c>
      <c r="I7" s="67"/>
    </row>
    <row r="8" spans="1:11" ht="16" thickBot="1" x14ac:dyDescent="0.25">
      <c r="A8" s="1">
        <v>16.5</v>
      </c>
      <c r="B8" s="1">
        <v>14.4</v>
      </c>
      <c r="D8" s="29" t="s">
        <v>26</v>
      </c>
      <c r="E8" s="30">
        <f>J4+(G4*E7)</f>
        <v>24.361006339218282</v>
      </c>
    </row>
    <row r="9" spans="1:11" ht="16" thickBot="1" x14ac:dyDescent="0.25">
      <c r="A9" s="1">
        <v>15.4</v>
      </c>
      <c r="B9" s="1">
        <v>13.4</v>
      </c>
    </row>
    <row r="10" spans="1:11" ht="15" customHeight="1" x14ac:dyDescent="0.2">
      <c r="A10" s="1">
        <v>17</v>
      </c>
      <c r="B10" s="1">
        <v>14.9</v>
      </c>
      <c r="D10" s="68" t="s">
        <v>30</v>
      </c>
      <c r="E10" s="69"/>
      <c r="F10" s="69"/>
      <c r="G10" s="69"/>
      <c r="H10" s="69"/>
      <c r="I10" s="69"/>
      <c r="J10" s="69"/>
      <c r="K10" s="70"/>
    </row>
    <row r="11" spans="1:11" ht="15" x14ac:dyDescent="0.2">
      <c r="A11" s="1">
        <v>17.899999999999999</v>
      </c>
      <c r="B11" s="1">
        <v>15.6</v>
      </c>
      <c r="D11" s="71"/>
      <c r="E11" s="72"/>
      <c r="F11" s="72"/>
      <c r="G11" s="72"/>
      <c r="H11" s="72"/>
      <c r="I11" s="72"/>
      <c r="J11" s="72"/>
      <c r="K11" s="73"/>
    </row>
    <row r="12" spans="1:11" ht="15" x14ac:dyDescent="0.2">
      <c r="A12" s="1">
        <v>18.8</v>
      </c>
      <c r="B12" s="1">
        <v>16.399999999999999</v>
      </c>
      <c r="D12" s="71"/>
      <c r="E12" s="72"/>
      <c r="F12" s="72"/>
      <c r="G12" s="72"/>
      <c r="H12" s="72"/>
      <c r="I12" s="72"/>
      <c r="J12" s="72"/>
      <c r="K12" s="73"/>
    </row>
    <row r="13" spans="1:11" ht="15" x14ac:dyDescent="0.2">
      <c r="A13" s="1">
        <v>20.3</v>
      </c>
      <c r="B13" s="1">
        <v>17.7</v>
      </c>
      <c r="D13" s="71"/>
      <c r="E13" s="72"/>
      <c r="F13" s="72"/>
      <c r="G13" s="72"/>
      <c r="H13" s="72"/>
      <c r="I13" s="72"/>
      <c r="J13" s="72"/>
      <c r="K13" s="73"/>
    </row>
    <row r="14" spans="1:11" ht="15" x14ac:dyDescent="0.2">
      <c r="A14" s="1">
        <v>22.4</v>
      </c>
      <c r="B14" s="1">
        <v>19.600000000000001</v>
      </c>
      <c r="D14" s="71"/>
      <c r="E14" s="72"/>
      <c r="F14" s="72"/>
      <c r="G14" s="72"/>
      <c r="H14" s="72"/>
      <c r="I14" s="72"/>
      <c r="J14" s="72"/>
      <c r="K14" s="73"/>
    </row>
    <row r="15" spans="1:11" ht="15" x14ac:dyDescent="0.2">
      <c r="A15" s="1">
        <v>19.399999999999999</v>
      </c>
      <c r="B15" s="1">
        <v>16.899999999999999</v>
      </c>
      <c r="D15" s="71"/>
      <c r="E15" s="72"/>
      <c r="F15" s="72"/>
      <c r="G15" s="72"/>
      <c r="H15" s="72"/>
      <c r="I15" s="72"/>
      <c r="J15" s="72"/>
      <c r="K15" s="73"/>
    </row>
    <row r="16" spans="1:11" ht="18" customHeight="1" thickBot="1" x14ac:dyDescent="0.25">
      <c r="A16" s="1">
        <v>15.5</v>
      </c>
      <c r="B16" s="1">
        <v>14</v>
      </c>
      <c r="D16" s="74"/>
      <c r="E16" s="75"/>
      <c r="F16" s="75"/>
      <c r="G16" s="75"/>
      <c r="H16" s="75"/>
      <c r="I16" s="75"/>
      <c r="J16" s="75"/>
      <c r="K16" s="76"/>
    </row>
    <row r="17" spans="1:2" ht="15" x14ac:dyDescent="0.2">
      <c r="A17" s="1">
        <v>16.7</v>
      </c>
      <c r="B17" s="1">
        <v>14.6</v>
      </c>
    </row>
    <row r="18" spans="1:2" ht="15" x14ac:dyDescent="0.2">
      <c r="A18" s="1">
        <v>17.3</v>
      </c>
      <c r="B18" s="1">
        <v>15.1</v>
      </c>
    </row>
    <row r="19" spans="1:2" ht="15" x14ac:dyDescent="0.2">
      <c r="A19" s="1">
        <v>18.399999999999999</v>
      </c>
      <c r="B19" s="1">
        <v>16.100000000000001</v>
      </c>
    </row>
    <row r="20" spans="1:2" ht="15" x14ac:dyDescent="0.2">
      <c r="A20" s="1">
        <v>19.2</v>
      </c>
      <c r="B20" s="1">
        <v>16.8</v>
      </c>
    </row>
    <row r="21" spans="1:2" ht="15" x14ac:dyDescent="0.2">
      <c r="A21" s="1">
        <v>17.399999999999999</v>
      </c>
      <c r="B21" s="1">
        <v>15.2</v>
      </c>
    </row>
    <row r="22" spans="1:2" ht="15" x14ac:dyDescent="0.2">
      <c r="A22" s="1">
        <v>19.5</v>
      </c>
      <c r="B22" s="1">
        <v>17</v>
      </c>
    </row>
    <row r="23" spans="1:2" ht="15" x14ac:dyDescent="0.2">
      <c r="A23" s="1">
        <v>19.7</v>
      </c>
      <c r="B23" s="1">
        <v>17.2</v>
      </c>
    </row>
    <row r="24" spans="1:2" ht="15" x14ac:dyDescent="0.2">
      <c r="A24" s="1">
        <v>21.2</v>
      </c>
      <c r="B24" s="1">
        <v>18.600000000000001</v>
      </c>
    </row>
  </sheetData>
  <mergeCells count="6">
    <mergeCell ref="H6:I6"/>
    <mergeCell ref="H7:I7"/>
    <mergeCell ref="D10:K16"/>
    <mergeCell ref="D1:E1"/>
    <mergeCell ref="E2:J2"/>
    <mergeCell ref="D6: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AD0B6-65F2-6940-9578-3B3A8CEBA68D}">
  <dimension ref="A1:AR436"/>
  <sheetViews>
    <sheetView topLeftCell="S2" zoomScale="160" zoomScaleNormal="160" workbookViewId="0">
      <selection activeCell="AK10" sqref="AK10"/>
    </sheetView>
  </sheetViews>
  <sheetFormatPr baseColWidth="10" defaultRowHeight="13" x14ac:dyDescent="0.15"/>
  <cols>
    <col min="1" max="1" width="75.6640625" customWidth="1"/>
    <col min="2" max="2" width="36" customWidth="1"/>
    <col min="6" max="6" width="29.33203125" customWidth="1"/>
    <col min="7" max="7" width="52.83203125" customWidth="1"/>
    <col min="12" max="12" width="29.83203125" customWidth="1"/>
    <col min="23" max="23" width="10.1640625" bestFit="1" customWidth="1"/>
    <col min="24" max="26" width="11.6640625" bestFit="1" customWidth="1"/>
    <col min="27" max="27" width="7.5" bestFit="1" customWidth="1"/>
    <col min="28" max="30" width="11.6640625" bestFit="1" customWidth="1"/>
    <col min="31" max="31" width="6.6640625" bestFit="1" customWidth="1"/>
    <col min="32" max="34" width="11.6640625" bestFit="1" customWidth="1"/>
    <col min="35" max="35" width="11.6640625" customWidth="1"/>
    <col min="37" max="41" width="11.6640625" bestFit="1" customWidth="1"/>
    <col min="42" max="42" width="10.1640625" bestFit="1" customWidth="1"/>
    <col min="43" max="44" width="11.6640625" bestFit="1" customWidth="1"/>
  </cols>
  <sheetData>
    <row r="1" spans="1:44" ht="16" x14ac:dyDescent="0.15">
      <c r="A1" s="81" t="s">
        <v>31</v>
      </c>
      <c r="B1" s="81"/>
      <c r="C1" s="81"/>
      <c r="D1" s="81"/>
      <c r="E1" s="81"/>
      <c r="F1" s="81"/>
      <c r="G1" s="81"/>
      <c r="H1" s="81"/>
      <c r="I1" s="81"/>
      <c r="J1" s="81"/>
      <c r="K1" s="81"/>
      <c r="L1" s="81"/>
      <c r="M1" s="81"/>
      <c r="N1" s="81"/>
      <c r="O1" s="81"/>
      <c r="P1" s="81"/>
      <c r="Q1" s="81"/>
      <c r="R1" s="81"/>
      <c r="S1" s="81"/>
      <c r="T1" s="81"/>
    </row>
    <row r="2" spans="1:44" ht="14" thickBot="1" x14ac:dyDescent="0.2">
      <c r="A2" s="31" t="s">
        <v>32</v>
      </c>
      <c r="B2" s="31" t="s">
        <v>33</v>
      </c>
      <c r="C2" s="31" t="s">
        <v>34</v>
      </c>
      <c r="D2" s="31" t="s">
        <v>35</v>
      </c>
      <c r="E2" s="31" t="s">
        <v>36</v>
      </c>
      <c r="F2" s="31" t="s">
        <v>37</v>
      </c>
      <c r="G2" s="31" t="s">
        <v>38</v>
      </c>
      <c r="H2" s="31" t="s">
        <v>39</v>
      </c>
      <c r="I2" s="31" t="s">
        <v>40</v>
      </c>
      <c r="J2" s="31" t="s">
        <v>41</v>
      </c>
      <c r="K2" s="31" t="s">
        <v>42</v>
      </c>
      <c r="L2" s="31" t="s">
        <v>43</v>
      </c>
      <c r="M2" s="31" t="s">
        <v>44</v>
      </c>
      <c r="N2" s="31" t="s">
        <v>45</v>
      </c>
      <c r="O2" s="31" t="s">
        <v>46</v>
      </c>
      <c r="P2" s="31" t="s">
        <v>47</v>
      </c>
      <c r="Q2" s="31" t="s">
        <v>48</v>
      </c>
      <c r="R2" s="31" t="s">
        <v>49</v>
      </c>
      <c r="S2" s="31" t="s">
        <v>50</v>
      </c>
      <c r="T2" s="31" t="s">
        <v>51</v>
      </c>
    </row>
    <row r="3" spans="1:44" ht="14" thickBot="1" x14ac:dyDescent="0.2">
      <c r="A3" s="32" t="s">
        <v>52</v>
      </c>
      <c r="B3" s="33" t="s">
        <v>53</v>
      </c>
      <c r="C3" s="34">
        <v>228965</v>
      </c>
      <c r="D3" s="34" t="b">
        <v>0</v>
      </c>
      <c r="E3" s="34">
        <v>1</v>
      </c>
      <c r="F3" s="34" t="s">
        <v>54</v>
      </c>
      <c r="G3" s="34" t="s">
        <v>55</v>
      </c>
      <c r="H3" s="35">
        <v>45401</v>
      </c>
      <c r="I3" s="34">
        <v>31</v>
      </c>
      <c r="J3" s="34" t="s">
        <v>56</v>
      </c>
      <c r="K3" s="34" t="s">
        <v>57</v>
      </c>
      <c r="L3" s="34" t="s">
        <v>58</v>
      </c>
      <c r="M3" s="34">
        <v>0.504</v>
      </c>
      <c r="N3" s="34">
        <v>0.38600000000000001</v>
      </c>
      <c r="O3" s="34">
        <v>-10.976000000000001</v>
      </c>
      <c r="P3" s="34">
        <v>3.0800000000000001E-2</v>
      </c>
      <c r="Q3" s="34">
        <v>0.502</v>
      </c>
      <c r="R3" s="34">
        <v>1.5299999999999999E-5</v>
      </c>
      <c r="S3" s="34">
        <v>9.6100000000000005E-2</v>
      </c>
      <c r="T3" s="34">
        <v>0.28100000000000003</v>
      </c>
      <c r="V3" s="82" t="s">
        <v>819</v>
      </c>
      <c r="W3" s="83"/>
      <c r="X3" s="83"/>
      <c r="Y3" s="83"/>
      <c r="Z3" s="83"/>
      <c r="AA3" s="83"/>
      <c r="AB3" s="83"/>
      <c r="AC3" s="84"/>
    </row>
    <row r="4" spans="1:44" x14ac:dyDescent="0.15">
      <c r="A4" s="36" t="s">
        <v>59</v>
      </c>
      <c r="B4" s="37" t="s">
        <v>60</v>
      </c>
      <c r="C4" s="38">
        <v>293048</v>
      </c>
      <c r="D4" s="38" t="b">
        <v>1</v>
      </c>
      <c r="E4" s="38">
        <v>2</v>
      </c>
      <c r="F4" s="38" t="s">
        <v>54</v>
      </c>
      <c r="G4" s="38" t="s">
        <v>55</v>
      </c>
      <c r="H4" s="39">
        <v>45401</v>
      </c>
      <c r="I4" s="38">
        <v>31</v>
      </c>
      <c r="J4" s="38" t="s">
        <v>56</v>
      </c>
      <c r="K4" s="38" t="s">
        <v>57</v>
      </c>
      <c r="L4" s="38" t="s">
        <v>58</v>
      </c>
      <c r="M4" s="38">
        <v>0.60399999999999998</v>
      </c>
      <c r="N4" s="38">
        <v>0.42799999999999999</v>
      </c>
      <c r="O4" s="38">
        <v>-8.4410000000000007</v>
      </c>
      <c r="P4" s="38">
        <v>2.5499999999999998E-2</v>
      </c>
      <c r="Q4" s="38">
        <v>4.8300000000000003E-2</v>
      </c>
      <c r="R4" s="38">
        <v>0</v>
      </c>
      <c r="S4" s="38">
        <v>0.126</v>
      </c>
      <c r="T4" s="38">
        <v>0.29199999999999998</v>
      </c>
    </row>
    <row r="5" spans="1:44" x14ac:dyDescent="0.15">
      <c r="A5" s="36" t="s">
        <v>61</v>
      </c>
      <c r="B5" s="37" t="s">
        <v>62</v>
      </c>
      <c r="C5" s="38">
        <v>203801</v>
      </c>
      <c r="D5" s="38" t="b">
        <v>0</v>
      </c>
      <c r="E5" s="38">
        <v>3</v>
      </c>
      <c r="F5" s="38" t="s">
        <v>54</v>
      </c>
      <c r="G5" s="38" t="s">
        <v>55</v>
      </c>
      <c r="H5" s="39">
        <v>45401</v>
      </c>
      <c r="I5" s="38">
        <v>31</v>
      </c>
      <c r="J5" s="38" t="s">
        <v>56</v>
      </c>
      <c r="K5" s="38" t="s">
        <v>57</v>
      </c>
      <c r="L5" s="38" t="s">
        <v>58</v>
      </c>
      <c r="M5" s="38">
        <v>0.59599999999999997</v>
      </c>
      <c r="N5" s="38">
        <v>0.56299999999999994</v>
      </c>
      <c r="O5" s="38">
        <v>-7.3620000000000001</v>
      </c>
      <c r="P5" s="38">
        <v>2.69E-2</v>
      </c>
      <c r="Q5" s="38">
        <v>0.13700000000000001</v>
      </c>
      <c r="R5" s="38">
        <v>0</v>
      </c>
      <c r="S5" s="38">
        <v>0.30199999999999999</v>
      </c>
      <c r="T5" s="38">
        <v>0.48099999999999998</v>
      </c>
    </row>
    <row r="6" spans="1:44" ht="28" x14ac:dyDescent="0.15">
      <c r="A6" s="36" t="s">
        <v>63</v>
      </c>
      <c r="B6" s="37" t="s">
        <v>64</v>
      </c>
      <c r="C6" s="38">
        <v>261228</v>
      </c>
      <c r="D6" s="38" t="b">
        <v>1</v>
      </c>
      <c r="E6" s="38">
        <v>4</v>
      </c>
      <c r="F6" s="38" t="s">
        <v>54</v>
      </c>
      <c r="G6" s="38" t="s">
        <v>55</v>
      </c>
      <c r="H6" s="39">
        <v>45401</v>
      </c>
      <c r="I6" s="38">
        <v>31</v>
      </c>
      <c r="J6" s="38" t="s">
        <v>56</v>
      </c>
      <c r="K6" s="38" t="s">
        <v>57</v>
      </c>
      <c r="L6" s="38" t="s">
        <v>58</v>
      </c>
      <c r="M6" s="38">
        <v>0.54100000000000004</v>
      </c>
      <c r="N6" s="38">
        <v>0.36599999999999999</v>
      </c>
      <c r="O6" s="38">
        <v>-10.412000000000001</v>
      </c>
      <c r="P6" s="38">
        <v>7.4800000000000005E-2</v>
      </c>
      <c r="Q6" s="38">
        <v>0.56000000000000005</v>
      </c>
      <c r="R6" s="38">
        <v>9.9999999999999995E-7</v>
      </c>
      <c r="S6" s="38">
        <v>9.4600000000000004E-2</v>
      </c>
      <c r="T6" s="38">
        <v>0.16800000000000001</v>
      </c>
      <c r="W6" s="5"/>
      <c r="X6" s="9" t="s">
        <v>10</v>
      </c>
      <c r="Y6" s="6"/>
      <c r="Z6" s="6"/>
      <c r="AA6" s="6"/>
      <c r="AB6" s="6"/>
      <c r="AC6" s="6"/>
      <c r="AD6" s="6"/>
      <c r="AE6" s="6"/>
      <c r="AF6" s="6"/>
      <c r="AG6" s="6"/>
      <c r="AH6" s="6"/>
      <c r="AI6" s="6"/>
      <c r="AJ6" s="6"/>
      <c r="AK6" s="6"/>
      <c r="AL6" s="6"/>
      <c r="AM6" s="6"/>
      <c r="AN6" s="6"/>
      <c r="AO6" s="6"/>
      <c r="AP6" s="6"/>
      <c r="AQ6" s="6"/>
      <c r="AR6" s="7"/>
    </row>
    <row r="7" spans="1:44" ht="126" x14ac:dyDescent="0.15">
      <c r="A7" s="36" t="s">
        <v>65</v>
      </c>
      <c r="B7" s="37" t="s">
        <v>66</v>
      </c>
      <c r="C7" s="38">
        <v>262974</v>
      </c>
      <c r="D7" s="38" t="b">
        <v>0</v>
      </c>
      <c r="E7" s="38">
        <v>5</v>
      </c>
      <c r="F7" s="38" t="s">
        <v>54</v>
      </c>
      <c r="G7" s="38" t="s">
        <v>55</v>
      </c>
      <c r="H7" s="39">
        <v>45401</v>
      </c>
      <c r="I7" s="38">
        <v>31</v>
      </c>
      <c r="J7" s="38" t="s">
        <v>56</v>
      </c>
      <c r="K7" s="38" t="s">
        <v>57</v>
      </c>
      <c r="L7" s="38" t="s">
        <v>58</v>
      </c>
      <c r="M7" s="38">
        <v>0.42299999999999999</v>
      </c>
      <c r="N7" s="38">
        <v>0.53300000000000003</v>
      </c>
      <c r="O7" s="38">
        <v>-11.388</v>
      </c>
      <c r="P7" s="38">
        <v>0.32200000000000001</v>
      </c>
      <c r="Q7" s="38">
        <v>0.73</v>
      </c>
      <c r="R7" s="38">
        <v>2.64E-3</v>
      </c>
      <c r="S7" s="38">
        <v>8.1600000000000006E-2</v>
      </c>
      <c r="T7" s="38">
        <v>0.248</v>
      </c>
      <c r="W7" s="8"/>
      <c r="X7" s="40">
        <v>1989</v>
      </c>
      <c r="Y7" s="41" t="s">
        <v>774</v>
      </c>
      <c r="Z7" s="41" t="s">
        <v>185</v>
      </c>
      <c r="AA7" s="41" t="s">
        <v>140</v>
      </c>
      <c r="AB7" s="42" t="s">
        <v>489</v>
      </c>
      <c r="AC7" s="42" t="s">
        <v>454</v>
      </c>
      <c r="AD7" s="43" t="s">
        <v>400</v>
      </c>
      <c r="AE7" s="44" t="s">
        <v>595</v>
      </c>
      <c r="AF7" s="44" t="s">
        <v>576</v>
      </c>
      <c r="AG7" s="44" t="s">
        <v>507</v>
      </c>
      <c r="AH7" s="45" t="s">
        <v>614</v>
      </c>
      <c r="AI7" s="46" t="s">
        <v>323</v>
      </c>
      <c r="AJ7" s="46" t="s">
        <v>301</v>
      </c>
      <c r="AK7" s="46" t="s">
        <v>254</v>
      </c>
      <c r="AL7" s="47" t="s">
        <v>339</v>
      </c>
      <c r="AM7" s="48" t="s">
        <v>651</v>
      </c>
      <c r="AN7" s="48" t="s">
        <v>683</v>
      </c>
      <c r="AO7" s="49" t="s">
        <v>209</v>
      </c>
      <c r="AP7" s="50" t="s">
        <v>121</v>
      </c>
      <c r="AQ7" s="50" t="s">
        <v>55</v>
      </c>
      <c r="AR7" s="11" t="s">
        <v>11</v>
      </c>
    </row>
    <row r="8" spans="1:44" ht="28" x14ac:dyDescent="0.15">
      <c r="A8" s="36" t="s">
        <v>67</v>
      </c>
      <c r="B8" s="37" t="s">
        <v>68</v>
      </c>
      <c r="C8" s="38">
        <v>340428</v>
      </c>
      <c r="D8" s="38" t="b">
        <v>1</v>
      </c>
      <c r="E8" s="38">
        <v>6</v>
      </c>
      <c r="F8" s="38" t="s">
        <v>54</v>
      </c>
      <c r="G8" s="38" t="s">
        <v>55</v>
      </c>
      <c r="H8" s="39">
        <v>45401</v>
      </c>
      <c r="I8" s="38">
        <v>31</v>
      </c>
      <c r="J8" s="38" t="s">
        <v>56</v>
      </c>
      <c r="K8" s="38" t="s">
        <v>57</v>
      </c>
      <c r="L8" s="38" t="s">
        <v>58</v>
      </c>
      <c r="M8" s="38">
        <v>0.52100000000000002</v>
      </c>
      <c r="N8" s="38">
        <v>0.72</v>
      </c>
      <c r="O8" s="38">
        <v>-7.6840000000000002</v>
      </c>
      <c r="P8" s="38">
        <v>0.104</v>
      </c>
      <c r="Q8" s="38">
        <v>0.38400000000000001</v>
      </c>
      <c r="R8" s="38">
        <v>0</v>
      </c>
      <c r="S8" s="38">
        <v>0.13500000000000001</v>
      </c>
      <c r="T8" s="38">
        <v>0.438</v>
      </c>
      <c r="W8" s="10" t="s">
        <v>820</v>
      </c>
      <c r="X8" s="12">
        <v>0.64938461538461545</v>
      </c>
      <c r="Y8" s="13">
        <v>0.63321052631578956</v>
      </c>
      <c r="Z8" s="13">
        <v>0.62757142857142867</v>
      </c>
      <c r="AA8" s="13">
        <v>0.62650000000000006</v>
      </c>
      <c r="AB8" s="52">
        <v>0.5188666666666667</v>
      </c>
      <c r="AC8" s="13">
        <v>0.5268235294117648</v>
      </c>
      <c r="AD8" s="13">
        <v>0.55103846153846159</v>
      </c>
      <c r="AE8" s="13">
        <v>0.5575</v>
      </c>
      <c r="AF8" s="13">
        <v>0.54194117647058826</v>
      </c>
      <c r="AG8" s="13">
        <v>0.55144117647058843</v>
      </c>
      <c r="AH8" s="51">
        <v>0.65822222222222226</v>
      </c>
      <c r="AI8" s="13">
        <v>0.63961538461538459</v>
      </c>
      <c r="AJ8" s="13">
        <v>0.62074999999999991</v>
      </c>
      <c r="AK8" s="13">
        <v>0.62434782608695638</v>
      </c>
      <c r="AL8" s="13">
        <v>0.57696666666666674</v>
      </c>
      <c r="AM8" s="13">
        <v>0.65793333333333337</v>
      </c>
      <c r="AN8" s="13">
        <v>0.59313043478260885</v>
      </c>
      <c r="AO8" s="13">
        <v>0.55563636363636371</v>
      </c>
      <c r="AP8" s="13">
        <v>0.55131249999999998</v>
      </c>
      <c r="AQ8" s="13">
        <v>0.53241935483870961</v>
      </c>
      <c r="AR8" s="14">
        <v>0.58602073732718929</v>
      </c>
    </row>
    <row r="9" spans="1:44" x14ac:dyDescent="0.15">
      <c r="A9" s="36" t="s">
        <v>69</v>
      </c>
      <c r="B9" s="37" t="s">
        <v>70</v>
      </c>
      <c r="C9" s="38">
        <v>210789</v>
      </c>
      <c r="D9" s="38" t="b">
        <v>0</v>
      </c>
      <c r="E9" s="38">
        <v>7</v>
      </c>
      <c r="F9" s="38" t="s">
        <v>54</v>
      </c>
      <c r="G9" s="38" t="s">
        <v>55</v>
      </c>
      <c r="H9" s="39">
        <v>45401</v>
      </c>
      <c r="I9" s="38">
        <v>31</v>
      </c>
      <c r="J9" s="38" t="s">
        <v>56</v>
      </c>
      <c r="K9" s="38" t="s">
        <v>57</v>
      </c>
      <c r="L9" s="38" t="s">
        <v>58</v>
      </c>
      <c r="M9" s="38">
        <v>0.33</v>
      </c>
      <c r="N9" s="38">
        <v>0.48299999999999998</v>
      </c>
      <c r="O9" s="38">
        <v>-9.3940000000000001</v>
      </c>
      <c r="P9" s="38">
        <v>3.9899999999999998E-2</v>
      </c>
      <c r="Q9" s="38">
        <v>0.624</v>
      </c>
      <c r="R9" s="38">
        <v>0</v>
      </c>
      <c r="S9" s="38">
        <v>0.111</v>
      </c>
      <c r="T9" s="38">
        <v>0.34</v>
      </c>
    </row>
    <row r="10" spans="1:44" x14ac:dyDescent="0.15">
      <c r="A10" s="36" t="s">
        <v>71</v>
      </c>
      <c r="B10" s="37" t="s">
        <v>72</v>
      </c>
      <c r="C10" s="38">
        <v>215463</v>
      </c>
      <c r="D10" s="38" t="b">
        <v>1</v>
      </c>
      <c r="E10" s="38">
        <v>8</v>
      </c>
      <c r="F10" s="38" t="s">
        <v>54</v>
      </c>
      <c r="G10" s="38" t="s">
        <v>55</v>
      </c>
      <c r="H10" s="39">
        <v>45401</v>
      </c>
      <c r="I10" s="38">
        <v>31</v>
      </c>
      <c r="J10" s="38" t="s">
        <v>56</v>
      </c>
      <c r="K10" s="38" t="s">
        <v>57</v>
      </c>
      <c r="L10" s="38" t="s">
        <v>58</v>
      </c>
      <c r="M10" s="38">
        <v>0.53300000000000003</v>
      </c>
      <c r="N10" s="38">
        <v>0.57299999999999995</v>
      </c>
      <c r="O10" s="38">
        <v>-7.1230000000000002</v>
      </c>
      <c r="P10" s="38">
        <v>0.13800000000000001</v>
      </c>
      <c r="Q10" s="38">
        <v>0.17799999999999999</v>
      </c>
      <c r="R10" s="38">
        <v>0</v>
      </c>
      <c r="S10" s="38">
        <v>0.309</v>
      </c>
      <c r="T10" s="38">
        <v>0.39800000000000002</v>
      </c>
    </row>
    <row r="11" spans="1:44" ht="14" thickBot="1" x14ac:dyDescent="0.2">
      <c r="A11" s="36" t="s">
        <v>73</v>
      </c>
      <c r="B11" s="37" t="s">
        <v>74</v>
      </c>
      <c r="C11" s="38">
        <v>254365</v>
      </c>
      <c r="D11" s="38" t="b">
        <v>0</v>
      </c>
      <c r="E11" s="38">
        <v>9</v>
      </c>
      <c r="F11" s="38" t="s">
        <v>54</v>
      </c>
      <c r="G11" s="38" t="s">
        <v>55</v>
      </c>
      <c r="H11" s="39">
        <v>45401</v>
      </c>
      <c r="I11" s="38">
        <v>31</v>
      </c>
      <c r="J11" s="38" t="s">
        <v>56</v>
      </c>
      <c r="K11" s="38" t="s">
        <v>57</v>
      </c>
      <c r="L11" s="38" t="s">
        <v>58</v>
      </c>
      <c r="M11" s="38">
        <v>0.626</v>
      </c>
      <c r="N11" s="38">
        <v>0.42799999999999999</v>
      </c>
      <c r="O11" s="38">
        <v>-8.3740000000000006</v>
      </c>
      <c r="P11" s="38">
        <v>2.6100000000000002E-2</v>
      </c>
      <c r="Q11" s="38">
        <v>0.60699999999999998</v>
      </c>
      <c r="R11" s="38">
        <v>0</v>
      </c>
      <c r="S11" s="38">
        <v>9.2100000000000001E-2</v>
      </c>
      <c r="T11" s="38">
        <v>0.48699999999999999</v>
      </c>
    </row>
    <row r="12" spans="1:44" x14ac:dyDescent="0.15">
      <c r="A12" s="36" t="s">
        <v>75</v>
      </c>
      <c r="B12" s="37" t="s">
        <v>76</v>
      </c>
      <c r="C12" s="38">
        <v>334084</v>
      </c>
      <c r="D12" s="38" t="b">
        <v>0</v>
      </c>
      <c r="E12" s="38">
        <v>10</v>
      </c>
      <c r="F12" s="38" t="s">
        <v>54</v>
      </c>
      <c r="G12" s="38" t="s">
        <v>55</v>
      </c>
      <c r="H12" s="39">
        <v>45401</v>
      </c>
      <c r="I12" s="38">
        <v>31</v>
      </c>
      <c r="J12" s="38" t="s">
        <v>56</v>
      </c>
      <c r="K12" s="38" t="s">
        <v>57</v>
      </c>
      <c r="L12" s="38" t="s">
        <v>58</v>
      </c>
      <c r="M12" s="38">
        <v>0.60599999999999998</v>
      </c>
      <c r="N12" s="38">
        <v>0.33800000000000002</v>
      </c>
      <c r="O12" s="38">
        <v>-10.555</v>
      </c>
      <c r="P12" s="38">
        <v>4.8000000000000001E-2</v>
      </c>
      <c r="Q12" s="38">
        <v>0.315</v>
      </c>
      <c r="R12" s="38">
        <v>0</v>
      </c>
      <c r="S12" s="38">
        <v>0.106</v>
      </c>
      <c r="T12" s="38">
        <v>0.23799999999999999</v>
      </c>
      <c r="AH12" s="85" t="s">
        <v>821</v>
      </c>
      <c r="AI12" s="86"/>
      <c r="AJ12" s="86"/>
      <c r="AK12" s="86"/>
      <c r="AL12" s="86"/>
      <c r="AM12" s="86"/>
      <c r="AN12" s="87"/>
    </row>
    <row r="13" spans="1:44" x14ac:dyDescent="0.15">
      <c r="A13" s="36" t="s">
        <v>77</v>
      </c>
      <c r="B13" s="37" t="s">
        <v>78</v>
      </c>
      <c r="C13" s="38">
        <v>156297</v>
      </c>
      <c r="D13" s="38" t="b">
        <v>0</v>
      </c>
      <c r="E13" s="38">
        <v>11</v>
      </c>
      <c r="F13" s="38" t="s">
        <v>54</v>
      </c>
      <c r="G13" s="38" t="s">
        <v>55</v>
      </c>
      <c r="H13" s="39">
        <v>45401</v>
      </c>
      <c r="I13" s="38">
        <v>31</v>
      </c>
      <c r="J13" s="38" t="s">
        <v>56</v>
      </c>
      <c r="K13" s="38" t="s">
        <v>57</v>
      </c>
      <c r="L13" s="38" t="s">
        <v>58</v>
      </c>
      <c r="M13" s="38">
        <v>0.66100000000000003</v>
      </c>
      <c r="N13" s="38">
        <v>0.25700000000000001</v>
      </c>
      <c r="O13" s="38">
        <v>-13.961</v>
      </c>
      <c r="P13" s="38">
        <v>4.4999999999999998E-2</v>
      </c>
      <c r="Q13" s="38">
        <v>0.76800000000000002</v>
      </c>
      <c r="R13" s="38">
        <v>1.72E-6</v>
      </c>
      <c r="S13" s="38">
        <v>0.17599999999999999</v>
      </c>
      <c r="T13" s="38">
        <v>0.318</v>
      </c>
      <c r="AH13" s="88"/>
      <c r="AI13" s="89"/>
      <c r="AJ13" s="89"/>
      <c r="AK13" s="89"/>
      <c r="AL13" s="89"/>
      <c r="AM13" s="89"/>
      <c r="AN13" s="90"/>
    </row>
    <row r="14" spans="1:44" x14ac:dyDescent="0.15">
      <c r="A14" s="36" t="s">
        <v>79</v>
      </c>
      <c r="B14" s="37" t="s">
        <v>80</v>
      </c>
      <c r="C14" s="38">
        <v>277156</v>
      </c>
      <c r="D14" s="38" t="b">
        <v>1</v>
      </c>
      <c r="E14" s="38">
        <v>12</v>
      </c>
      <c r="F14" s="38" t="s">
        <v>54</v>
      </c>
      <c r="G14" s="38" t="s">
        <v>55</v>
      </c>
      <c r="H14" s="39">
        <v>45401</v>
      </c>
      <c r="I14" s="38">
        <v>31</v>
      </c>
      <c r="J14" s="38" t="s">
        <v>56</v>
      </c>
      <c r="K14" s="38" t="s">
        <v>57</v>
      </c>
      <c r="L14" s="38" t="s">
        <v>58</v>
      </c>
      <c r="M14" s="38">
        <v>0.42299999999999999</v>
      </c>
      <c r="N14" s="38">
        <v>0.27200000000000002</v>
      </c>
      <c r="O14" s="38">
        <v>-12.56</v>
      </c>
      <c r="P14" s="38">
        <v>4.8899999999999999E-2</v>
      </c>
      <c r="Q14" s="38">
        <v>0.85799999999999998</v>
      </c>
      <c r="R14" s="38">
        <v>0</v>
      </c>
      <c r="S14" s="38">
        <v>0.108</v>
      </c>
      <c r="T14" s="38">
        <v>0.19500000000000001</v>
      </c>
      <c r="AH14" s="88"/>
      <c r="AI14" s="89"/>
      <c r="AJ14" s="89"/>
      <c r="AK14" s="89"/>
      <c r="AL14" s="89"/>
      <c r="AM14" s="89"/>
      <c r="AN14" s="90"/>
    </row>
    <row r="15" spans="1:44" x14ac:dyDescent="0.15">
      <c r="A15" s="36" t="s">
        <v>81</v>
      </c>
      <c r="B15" s="37" t="s">
        <v>82</v>
      </c>
      <c r="C15" s="38">
        <v>218004</v>
      </c>
      <c r="D15" s="38" t="b">
        <v>1</v>
      </c>
      <c r="E15" s="38">
        <v>13</v>
      </c>
      <c r="F15" s="38" t="s">
        <v>54</v>
      </c>
      <c r="G15" s="38" t="s">
        <v>55</v>
      </c>
      <c r="H15" s="39">
        <v>45401</v>
      </c>
      <c r="I15" s="38">
        <v>31</v>
      </c>
      <c r="J15" s="38" t="s">
        <v>56</v>
      </c>
      <c r="K15" s="38" t="s">
        <v>57</v>
      </c>
      <c r="L15" s="38" t="s">
        <v>58</v>
      </c>
      <c r="M15" s="38">
        <v>0.70099999999999996</v>
      </c>
      <c r="N15" s="38">
        <v>0.751</v>
      </c>
      <c r="O15" s="38">
        <v>-8.39</v>
      </c>
      <c r="P15" s="38">
        <v>5.0200000000000002E-2</v>
      </c>
      <c r="Q15" s="38">
        <v>0.123</v>
      </c>
      <c r="R15" s="38">
        <v>0</v>
      </c>
      <c r="S15" s="38">
        <v>0.15</v>
      </c>
      <c r="T15" s="38">
        <v>0.22</v>
      </c>
      <c r="AH15" s="88"/>
      <c r="AI15" s="89"/>
      <c r="AJ15" s="89"/>
      <c r="AK15" s="89"/>
      <c r="AL15" s="89"/>
      <c r="AM15" s="89"/>
      <c r="AN15" s="90"/>
    </row>
    <row r="16" spans="1:44" x14ac:dyDescent="0.15">
      <c r="A16" s="36" t="s">
        <v>83</v>
      </c>
      <c r="B16" s="37" t="s">
        <v>84</v>
      </c>
      <c r="C16" s="38">
        <v>245541</v>
      </c>
      <c r="D16" s="38" t="b">
        <v>1</v>
      </c>
      <c r="E16" s="38">
        <v>14</v>
      </c>
      <c r="F16" s="38" t="s">
        <v>54</v>
      </c>
      <c r="G16" s="38" t="s">
        <v>55</v>
      </c>
      <c r="H16" s="39">
        <v>45401</v>
      </c>
      <c r="I16" s="38">
        <v>31</v>
      </c>
      <c r="J16" s="38" t="s">
        <v>56</v>
      </c>
      <c r="K16" s="38" t="s">
        <v>57</v>
      </c>
      <c r="L16" s="38" t="s">
        <v>58</v>
      </c>
      <c r="M16" s="38">
        <v>0.42599999999999999</v>
      </c>
      <c r="N16" s="38">
        <v>0.41</v>
      </c>
      <c r="O16" s="38">
        <v>-9.0830000000000002</v>
      </c>
      <c r="P16" s="38">
        <v>5.8099999999999999E-2</v>
      </c>
      <c r="Q16" s="38">
        <v>0.52</v>
      </c>
      <c r="R16" s="38">
        <v>0</v>
      </c>
      <c r="S16" s="38">
        <v>0.33800000000000002</v>
      </c>
      <c r="T16" s="38">
        <v>0.26300000000000001</v>
      </c>
      <c r="AH16" s="88"/>
      <c r="AI16" s="89"/>
      <c r="AJ16" s="89"/>
      <c r="AK16" s="89"/>
      <c r="AL16" s="89"/>
      <c r="AM16" s="89"/>
      <c r="AN16" s="90"/>
    </row>
    <row r="17" spans="1:40" x14ac:dyDescent="0.15">
      <c r="A17" s="36" t="s">
        <v>85</v>
      </c>
      <c r="B17" s="37" t="s">
        <v>86</v>
      </c>
      <c r="C17" s="38">
        <v>196900</v>
      </c>
      <c r="D17" s="38" t="b">
        <v>0</v>
      </c>
      <c r="E17" s="38">
        <v>15</v>
      </c>
      <c r="F17" s="38" t="s">
        <v>54</v>
      </c>
      <c r="G17" s="38" t="s">
        <v>55</v>
      </c>
      <c r="H17" s="39">
        <v>45401</v>
      </c>
      <c r="I17" s="38">
        <v>31</v>
      </c>
      <c r="J17" s="38" t="s">
        <v>56</v>
      </c>
      <c r="K17" s="38" t="s">
        <v>57</v>
      </c>
      <c r="L17" s="38" t="s">
        <v>58</v>
      </c>
      <c r="M17" s="38">
        <v>0.64</v>
      </c>
      <c r="N17" s="38">
        <v>0.42099999999999999</v>
      </c>
      <c r="O17" s="38">
        <v>-8.8019999999999996</v>
      </c>
      <c r="P17" s="38">
        <v>2.7300000000000001E-2</v>
      </c>
      <c r="Q17" s="38">
        <v>0.42199999999999999</v>
      </c>
      <c r="R17" s="38">
        <v>0</v>
      </c>
      <c r="S17" s="38">
        <v>0.10299999999999999</v>
      </c>
      <c r="T17" s="38">
        <v>0.35299999999999998</v>
      </c>
      <c r="AH17" s="88"/>
      <c r="AI17" s="89"/>
      <c r="AJ17" s="89"/>
      <c r="AK17" s="89"/>
      <c r="AL17" s="89"/>
      <c r="AM17" s="89"/>
      <c r="AN17" s="90"/>
    </row>
    <row r="18" spans="1:40" x14ac:dyDescent="0.15">
      <c r="A18" s="36" t="s">
        <v>87</v>
      </c>
      <c r="B18" s="37" t="s">
        <v>88</v>
      </c>
      <c r="C18" s="38">
        <v>216662</v>
      </c>
      <c r="D18" s="38" t="b">
        <v>0</v>
      </c>
      <c r="E18" s="38">
        <v>16</v>
      </c>
      <c r="F18" s="38" t="s">
        <v>54</v>
      </c>
      <c r="G18" s="38" t="s">
        <v>55</v>
      </c>
      <c r="H18" s="39">
        <v>45401</v>
      </c>
      <c r="I18" s="38">
        <v>31</v>
      </c>
      <c r="J18" s="38" t="s">
        <v>56</v>
      </c>
      <c r="K18" s="38" t="s">
        <v>57</v>
      </c>
      <c r="L18" s="38" t="s">
        <v>58</v>
      </c>
      <c r="M18" s="38">
        <v>0.68600000000000005</v>
      </c>
      <c r="N18" s="38">
        <v>0.318</v>
      </c>
      <c r="O18" s="38">
        <v>-11.045999999999999</v>
      </c>
      <c r="P18" s="38">
        <v>2.63E-2</v>
      </c>
      <c r="Q18" s="38">
        <v>0.63600000000000001</v>
      </c>
      <c r="R18" s="38">
        <v>1.4400000000000001E-3</v>
      </c>
      <c r="S18" s="38">
        <v>0.106</v>
      </c>
      <c r="T18" s="38">
        <v>0.214</v>
      </c>
      <c r="AH18" s="88"/>
      <c r="AI18" s="89"/>
      <c r="AJ18" s="89"/>
      <c r="AK18" s="89"/>
      <c r="AL18" s="89"/>
      <c r="AM18" s="89"/>
      <c r="AN18" s="90"/>
    </row>
    <row r="19" spans="1:40" x14ac:dyDescent="0.15">
      <c r="A19" s="36" t="s">
        <v>89</v>
      </c>
      <c r="B19" s="37" t="s">
        <v>90</v>
      </c>
      <c r="C19" s="38">
        <v>238857</v>
      </c>
      <c r="D19" s="38" t="b">
        <v>1</v>
      </c>
      <c r="E19" s="38">
        <v>17</v>
      </c>
      <c r="F19" s="38" t="s">
        <v>54</v>
      </c>
      <c r="G19" s="38" t="s">
        <v>55</v>
      </c>
      <c r="H19" s="39">
        <v>45401</v>
      </c>
      <c r="I19" s="38">
        <v>31</v>
      </c>
      <c r="J19" s="38" t="s">
        <v>56</v>
      </c>
      <c r="K19" s="38" t="s">
        <v>57</v>
      </c>
      <c r="L19" s="38" t="s">
        <v>58</v>
      </c>
      <c r="M19" s="38">
        <v>0.52700000000000002</v>
      </c>
      <c r="N19" s="38">
        <v>0.27</v>
      </c>
      <c r="O19" s="38">
        <v>-10.855</v>
      </c>
      <c r="P19" s="38">
        <v>3.7999999999999999E-2</v>
      </c>
      <c r="Q19" s="38">
        <v>0.70699999999999996</v>
      </c>
      <c r="R19" s="38">
        <v>0</v>
      </c>
      <c r="S19" s="38">
        <v>0.10199999999999999</v>
      </c>
      <c r="T19" s="38">
        <v>0.23</v>
      </c>
      <c r="AH19" s="88"/>
      <c r="AI19" s="89"/>
      <c r="AJ19" s="89"/>
      <c r="AK19" s="89"/>
      <c r="AL19" s="89"/>
      <c r="AM19" s="89"/>
      <c r="AN19" s="90"/>
    </row>
    <row r="20" spans="1:40" x14ac:dyDescent="0.15">
      <c r="A20" s="36" t="s">
        <v>91</v>
      </c>
      <c r="B20" s="37" t="s">
        <v>92</v>
      </c>
      <c r="C20" s="38">
        <v>222072</v>
      </c>
      <c r="D20" s="38" t="b">
        <v>0</v>
      </c>
      <c r="E20" s="38">
        <v>18</v>
      </c>
      <c r="F20" s="38" t="s">
        <v>54</v>
      </c>
      <c r="G20" s="38" t="s">
        <v>55</v>
      </c>
      <c r="H20" s="39">
        <v>45401</v>
      </c>
      <c r="I20" s="38">
        <v>31</v>
      </c>
      <c r="J20" s="38" t="s">
        <v>56</v>
      </c>
      <c r="K20" s="38" t="s">
        <v>57</v>
      </c>
      <c r="L20" s="38" t="s">
        <v>58</v>
      </c>
      <c r="M20" s="38">
        <v>0.78400000000000003</v>
      </c>
      <c r="N20" s="38">
        <v>0.39100000000000001</v>
      </c>
      <c r="O20" s="38">
        <v>-9.4710000000000001</v>
      </c>
      <c r="P20" s="38">
        <v>6.3299999999999995E-2</v>
      </c>
      <c r="Q20" s="38">
        <v>0.60799999999999998</v>
      </c>
      <c r="R20" s="38">
        <v>0</v>
      </c>
      <c r="S20" s="38">
        <v>0.252</v>
      </c>
      <c r="T20" s="38">
        <v>0.15</v>
      </c>
      <c r="AH20" s="88"/>
      <c r="AI20" s="89"/>
      <c r="AJ20" s="89"/>
      <c r="AK20" s="89"/>
      <c r="AL20" s="89"/>
      <c r="AM20" s="89"/>
      <c r="AN20" s="90"/>
    </row>
    <row r="21" spans="1:40" x14ac:dyDescent="0.15">
      <c r="A21" s="36" t="s">
        <v>93</v>
      </c>
      <c r="B21" s="37" t="s">
        <v>94</v>
      </c>
      <c r="C21" s="38">
        <v>183878</v>
      </c>
      <c r="D21" s="38" t="b">
        <v>0</v>
      </c>
      <c r="E21" s="38">
        <v>19</v>
      </c>
      <c r="F21" s="38" t="s">
        <v>54</v>
      </c>
      <c r="G21" s="38" t="s">
        <v>55</v>
      </c>
      <c r="H21" s="39">
        <v>45401</v>
      </c>
      <c r="I21" s="38">
        <v>31</v>
      </c>
      <c r="J21" s="38" t="s">
        <v>56</v>
      </c>
      <c r="K21" s="38" t="s">
        <v>57</v>
      </c>
      <c r="L21" s="38" t="s">
        <v>58</v>
      </c>
      <c r="M21" s="38">
        <v>0.35199999999999998</v>
      </c>
      <c r="N21" s="38">
        <v>0.47899999999999998</v>
      </c>
      <c r="O21" s="38">
        <v>-8.9420000000000002</v>
      </c>
      <c r="P21" s="38">
        <v>5.8299999999999998E-2</v>
      </c>
      <c r="Q21" s="38">
        <v>0.65500000000000003</v>
      </c>
      <c r="R21" s="38">
        <v>0</v>
      </c>
      <c r="S21" s="38">
        <v>9.35E-2</v>
      </c>
      <c r="T21" s="38">
        <v>0.29199999999999998</v>
      </c>
      <c r="AH21" s="88"/>
      <c r="AI21" s="89"/>
      <c r="AJ21" s="89"/>
      <c r="AK21" s="89"/>
      <c r="AL21" s="89"/>
      <c r="AM21" s="89"/>
      <c r="AN21" s="90"/>
    </row>
    <row r="22" spans="1:40" x14ac:dyDescent="0.15">
      <c r="A22" s="36" t="s">
        <v>95</v>
      </c>
      <c r="B22" s="37" t="s">
        <v>96</v>
      </c>
      <c r="C22" s="38">
        <v>213281</v>
      </c>
      <c r="D22" s="38" t="b">
        <v>0</v>
      </c>
      <c r="E22" s="38">
        <v>20</v>
      </c>
      <c r="F22" s="38" t="s">
        <v>54</v>
      </c>
      <c r="G22" s="38" t="s">
        <v>55</v>
      </c>
      <c r="H22" s="39">
        <v>45401</v>
      </c>
      <c r="I22" s="38">
        <v>31</v>
      </c>
      <c r="J22" s="38" t="s">
        <v>56</v>
      </c>
      <c r="K22" s="38" t="s">
        <v>57</v>
      </c>
      <c r="L22" s="38" t="s">
        <v>58</v>
      </c>
      <c r="M22" s="38">
        <v>0.51600000000000001</v>
      </c>
      <c r="N22" s="38">
        <v>0.45100000000000001</v>
      </c>
      <c r="O22" s="38">
        <v>-8.5519999999999996</v>
      </c>
      <c r="P22" s="38">
        <v>4.4600000000000001E-2</v>
      </c>
      <c r="Q22" s="38">
        <v>0.78</v>
      </c>
      <c r="R22" s="38">
        <v>0</v>
      </c>
      <c r="S22" s="38">
        <v>0.105</v>
      </c>
      <c r="T22" s="38">
        <v>0.218</v>
      </c>
      <c r="AH22" s="88"/>
      <c r="AI22" s="89"/>
      <c r="AJ22" s="89"/>
      <c r="AK22" s="89"/>
      <c r="AL22" s="89"/>
      <c r="AM22" s="89"/>
      <c r="AN22" s="90"/>
    </row>
    <row r="23" spans="1:40" x14ac:dyDescent="0.15">
      <c r="A23" s="36" t="s">
        <v>97</v>
      </c>
      <c r="B23" s="37" t="s">
        <v>98</v>
      </c>
      <c r="C23" s="38">
        <v>238706</v>
      </c>
      <c r="D23" s="38" t="b">
        <v>0</v>
      </c>
      <c r="E23" s="38">
        <v>21</v>
      </c>
      <c r="F23" s="38" t="s">
        <v>54</v>
      </c>
      <c r="G23" s="38" t="s">
        <v>55</v>
      </c>
      <c r="H23" s="39">
        <v>45401</v>
      </c>
      <c r="I23" s="38">
        <v>31</v>
      </c>
      <c r="J23" s="38" t="s">
        <v>56</v>
      </c>
      <c r="K23" s="38" t="s">
        <v>57</v>
      </c>
      <c r="L23" s="38" t="s">
        <v>58</v>
      </c>
      <c r="M23" s="38">
        <v>0.49199999999999999</v>
      </c>
      <c r="N23" s="38">
        <v>0.379</v>
      </c>
      <c r="O23" s="38">
        <v>-8.859</v>
      </c>
      <c r="P23" s="38">
        <v>2.5700000000000001E-2</v>
      </c>
      <c r="Q23" s="38">
        <v>0.78500000000000003</v>
      </c>
      <c r="R23" s="38">
        <v>9.3000000000000005E-4</v>
      </c>
      <c r="S23" s="38">
        <v>0.108</v>
      </c>
      <c r="T23" s="38">
        <v>0.27300000000000002</v>
      </c>
      <c r="AH23" s="88"/>
      <c r="AI23" s="89"/>
      <c r="AJ23" s="89"/>
      <c r="AK23" s="89"/>
      <c r="AL23" s="89"/>
      <c r="AM23" s="89"/>
      <c r="AN23" s="90"/>
    </row>
    <row r="24" spans="1:40" ht="14" thickBot="1" x14ac:dyDescent="0.2">
      <c r="A24" s="36" t="s">
        <v>99</v>
      </c>
      <c r="B24" s="37" t="s">
        <v>100</v>
      </c>
      <c r="C24" s="38">
        <v>228800</v>
      </c>
      <c r="D24" s="38" t="b">
        <v>0</v>
      </c>
      <c r="E24" s="38">
        <v>22</v>
      </c>
      <c r="F24" s="38" t="s">
        <v>54</v>
      </c>
      <c r="G24" s="38" t="s">
        <v>55</v>
      </c>
      <c r="H24" s="39">
        <v>45401</v>
      </c>
      <c r="I24" s="38">
        <v>31</v>
      </c>
      <c r="J24" s="38" t="s">
        <v>56</v>
      </c>
      <c r="K24" s="38" t="s">
        <v>57</v>
      </c>
      <c r="L24" s="38" t="s">
        <v>58</v>
      </c>
      <c r="M24" s="38">
        <v>0.36599999999999999</v>
      </c>
      <c r="N24" s="38">
        <v>0.86599999999999999</v>
      </c>
      <c r="O24" s="38">
        <v>-4.5140000000000002</v>
      </c>
      <c r="P24" s="38">
        <v>4.6600000000000003E-2</v>
      </c>
      <c r="Q24" s="38">
        <v>2.7400000000000001E-2</v>
      </c>
      <c r="R24" s="38">
        <v>3.0699999999999998E-6</v>
      </c>
      <c r="S24" s="38">
        <v>0.106</v>
      </c>
      <c r="T24" s="38">
        <v>0.29299999999999998</v>
      </c>
      <c r="AH24" s="91"/>
      <c r="AI24" s="92"/>
      <c r="AJ24" s="92"/>
      <c r="AK24" s="92"/>
      <c r="AL24" s="92"/>
      <c r="AM24" s="92"/>
      <c r="AN24" s="93"/>
    </row>
    <row r="25" spans="1:40" x14ac:dyDescent="0.15">
      <c r="A25" s="36" t="s">
        <v>101</v>
      </c>
      <c r="B25" s="37" t="s">
        <v>102</v>
      </c>
      <c r="C25" s="38">
        <v>243875</v>
      </c>
      <c r="D25" s="38" t="b">
        <v>0</v>
      </c>
      <c r="E25" s="38">
        <v>23</v>
      </c>
      <c r="F25" s="38" t="s">
        <v>54</v>
      </c>
      <c r="G25" s="38" t="s">
        <v>55</v>
      </c>
      <c r="H25" s="39">
        <v>45401</v>
      </c>
      <c r="I25" s="38">
        <v>31</v>
      </c>
      <c r="J25" s="38" t="s">
        <v>56</v>
      </c>
      <c r="K25" s="38" t="s">
        <v>57</v>
      </c>
      <c r="L25" s="38" t="s">
        <v>58</v>
      </c>
      <c r="M25" s="38">
        <v>0.48499999999999999</v>
      </c>
      <c r="N25" s="38">
        <v>0.56200000000000006</v>
      </c>
      <c r="O25" s="38">
        <v>-7.1970000000000001</v>
      </c>
      <c r="P25" s="38">
        <v>3.4599999999999999E-2</v>
      </c>
      <c r="Q25" s="38">
        <v>0.71699999999999997</v>
      </c>
      <c r="R25" s="38">
        <v>0</v>
      </c>
      <c r="S25" s="38">
        <v>0.35699999999999998</v>
      </c>
      <c r="T25" s="38">
        <v>0.29699999999999999</v>
      </c>
    </row>
    <row r="26" spans="1:40" x14ac:dyDescent="0.15">
      <c r="A26" s="36" t="s">
        <v>103</v>
      </c>
      <c r="B26" s="37" t="s">
        <v>104</v>
      </c>
      <c r="C26" s="38">
        <v>263817</v>
      </c>
      <c r="D26" s="38" t="b">
        <v>1</v>
      </c>
      <c r="E26" s="38">
        <v>24</v>
      </c>
      <c r="F26" s="38" t="s">
        <v>54</v>
      </c>
      <c r="G26" s="38" t="s">
        <v>55</v>
      </c>
      <c r="H26" s="39">
        <v>45401</v>
      </c>
      <c r="I26" s="38">
        <v>31</v>
      </c>
      <c r="J26" s="38" t="s">
        <v>56</v>
      </c>
      <c r="K26" s="38" t="s">
        <v>57</v>
      </c>
      <c r="L26" s="38" t="s">
        <v>58</v>
      </c>
      <c r="M26" s="38">
        <v>0.60899999999999999</v>
      </c>
      <c r="N26" s="38">
        <v>0.54100000000000004</v>
      </c>
      <c r="O26" s="38">
        <v>-8.0129999999999999</v>
      </c>
      <c r="P26" s="38">
        <v>3.4599999999999999E-2</v>
      </c>
      <c r="Q26" s="38">
        <v>0.60899999999999999</v>
      </c>
      <c r="R26" s="38">
        <v>0</v>
      </c>
      <c r="S26" s="38">
        <v>0.122</v>
      </c>
      <c r="T26" s="38">
        <v>0.252</v>
      </c>
    </row>
    <row r="27" spans="1:40" x14ac:dyDescent="0.15">
      <c r="A27" s="36" t="s">
        <v>105</v>
      </c>
      <c r="B27" s="37" t="s">
        <v>106</v>
      </c>
      <c r="C27" s="38">
        <v>131907</v>
      </c>
      <c r="D27" s="38" t="b">
        <v>0</v>
      </c>
      <c r="E27" s="38">
        <v>25</v>
      </c>
      <c r="F27" s="38" t="s">
        <v>54</v>
      </c>
      <c r="G27" s="38" t="s">
        <v>55</v>
      </c>
      <c r="H27" s="39">
        <v>45401</v>
      </c>
      <c r="I27" s="38">
        <v>31</v>
      </c>
      <c r="J27" s="38" t="s">
        <v>56</v>
      </c>
      <c r="K27" s="38" t="s">
        <v>57</v>
      </c>
      <c r="L27" s="38" t="s">
        <v>58</v>
      </c>
      <c r="M27" s="38">
        <v>0.76300000000000001</v>
      </c>
      <c r="N27" s="38">
        <v>0.27400000000000002</v>
      </c>
      <c r="O27" s="38">
        <v>-11.429</v>
      </c>
      <c r="P27" s="38">
        <v>7.3800000000000004E-2</v>
      </c>
      <c r="Q27" s="38">
        <v>0.69</v>
      </c>
      <c r="R27" s="38">
        <v>0</v>
      </c>
      <c r="S27" s="38">
        <v>0.16400000000000001</v>
      </c>
      <c r="T27" s="38">
        <v>0.38500000000000001</v>
      </c>
    </row>
    <row r="28" spans="1:40" x14ac:dyDescent="0.15">
      <c r="A28" s="36" t="s">
        <v>107</v>
      </c>
      <c r="B28" s="37" t="s">
        <v>108</v>
      </c>
      <c r="C28" s="38">
        <v>249807</v>
      </c>
      <c r="D28" s="38" t="b">
        <v>0</v>
      </c>
      <c r="E28" s="38">
        <v>26</v>
      </c>
      <c r="F28" s="38" t="s">
        <v>54</v>
      </c>
      <c r="G28" s="38" t="s">
        <v>55</v>
      </c>
      <c r="H28" s="39">
        <v>45401</v>
      </c>
      <c r="I28" s="38">
        <v>31</v>
      </c>
      <c r="J28" s="38" t="s">
        <v>56</v>
      </c>
      <c r="K28" s="38" t="s">
        <v>57</v>
      </c>
      <c r="L28" s="38" t="s">
        <v>58</v>
      </c>
      <c r="M28" s="38">
        <v>0.42099999999999999</v>
      </c>
      <c r="N28" s="38">
        <v>0.52500000000000002</v>
      </c>
      <c r="O28" s="38">
        <v>-10.359</v>
      </c>
      <c r="P28" s="38">
        <v>4.7199999999999999E-2</v>
      </c>
      <c r="Q28" s="38">
        <v>0.82499999999999996</v>
      </c>
      <c r="R28" s="38">
        <v>2.6699999999999998E-6</v>
      </c>
      <c r="S28" s="38">
        <v>0.308</v>
      </c>
      <c r="T28" s="38">
        <v>0.53500000000000003</v>
      </c>
    </row>
    <row r="29" spans="1:40" x14ac:dyDescent="0.15">
      <c r="A29" s="36" t="s">
        <v>109</v>
      </c>
      <c r="B29" s="37" t="s">
        <v>110</v>
      </c>
      <c r="C29" s="38">
        <v>240205</v>
      </c>
      <c r="D29" s="38" t="b">
        <v>1</v>
      </c>
      <c r="E29" s="38">
        <v>27</v>
      </c>
      <c r="F29" s="38" t="s">
        <v>54</v>
      </c>
      <c r="G29" s="38" t="s">
        <v>55</v>
      </c>
      <c r="H29" s="39">
        <v>45401</v>
      </c>
      <c r="I29" s="38">
        <v>31</v>
      </c>
      <c r="J29" s="38" t="s">
        <v>56</v>
      </c>
      <c r="K29" s="38" t="s">
        <v>57</v>
      </c>
      <c r="L29" s="38" t="s">
        <v>58</v>
      </c>
      <c r="M29" s="38">
        <v>0.58699999999999997</v>
      </c>
      <c r="N29" s="38">
        <v>0.58699999999999997</v>
      </c>
      <c r="O29" s="38">
        <v>-9.8789999999999996</v>
      </c>
      <c r="P29" s="38">
        <v>5.9499999999999997E-2</v>
      </c>
      <c r="Q29" s="38">
        <v>0.80600000000000005</v>
      </c>
      <c r="R29" s="38">
        <v>0</v>
      </c>
      <c r="S29" s="38">
        <v>0.13700000000000001</v>
      </c>
      <c r="T29" s="38">
        <v>0.51400000000000001</v>
      </c>
    </row>
    <row r="30" spans="1:40" x14ac:dyDescent="0.15">
      <c r="A30" s="36" t="s">
        <v>111</v>
      </c>
      <c r="B30" s="37" t="s">
        <v>112</v>
      </c>
      <c r="C30" s="38">
        <v>283957</v>
      </c>
      <c r="D30" s="38" t="b">
        <v>0</v>
      </c>
      <c r="E30" s="38">
        <v>28</v>
      </c>
      <c r="F30" s="38" t="s">
        <v>54</v>
      </c>
      <c r="G30" s="38" t="s">
        <v>55</v>
      </c>
      <c r="H30" s="39">
        <v>45401</v>
      </c>
      <c r="I30" s="38">
        <v>31</v>
      </c>
      <c r="J30" s="38" t="s">
        <v>56</v>
      </c>
      <c r="K30" s="38" t="s">
        <v>57</v>
      </c>
      <c r="L30" s="38" t="s">
        <v>58</v>
      </c>
      <c r="M30" s="38">
        <v>0.34200000000000003</v>
      </c>
      <c r="N30" s="38">
        <v>0.376</v>
      </c>
      <c r="O30" s="38">
        <v>-8.2119999999999997</v>
      </c>
      <c r="P30" s="38">
        <v>3.7199999999999997E-2</v>
      </c>
      <c r="Q30" s="38">
        <v>0.80500000000000005</v>
      </c>
      <c r="R30" s="38">
        <v>0</v>
      </c>
      <c r="S30" s="38">
        <v>5.9299999999999999E-2</v>
      </c>
      <c r="T30" s="38">
        <v>0.28999999999999998</v>
      </c>
    </row>
    <row r="31" spans="1:40" x14ac:dyDescent="0.15">
      <c r="A31" s="36" t="s">
        <v>113</v>
      </c>
      <c r="B31" s="37" t="s">
        <v>114</v>
      </c>
      <c r="C31" s="38">
        <v>238241</v>
      </c>
      <c r="D31" s="38" t="b">
        <v>1</v>
      </c>
      <c r="E31" s="38">
        <v>29</v>
      </c>
      <c r="F31" s="38" t="s">
        <v>54</v>
      </c>
      <c r="G31" s="38" t="s">
        <v>55</v>
      </c>
      <c r="H31" s="39">
        <v>45401</v>
      </c>
      <c r="I31" s="38">
        <v>31</v>
      </c>
      <c r="J31" s="38" t="s">
        <v>56</v>
      </c>
      <c r="K31" s="38" t="s">
        <v>57</v>
      </c>
      <c r="L31" s="38" t="s">
        <v>58</v>
      </c>
      <c r="M31" s="38">
        <v>0.45500000000000002</v>
      </c>
      <c r="N31" s="38">
        <v>0.58599999999999997</v>
      </c>
      <c r="O31" s="38">
        <v>-7.9779999999999998</v>
      </c>
      <c r="P31" s="38">
        <v>4.9200000000000001E-2</v>
      </c>
      <c r="Q31" s="38">
        <v>0.63800000000000001</v>
      </c>
      <c r="R31" s="38">
        <v>0</v>
      </c>
      <c r="S31" s="38">
        <v>0.13100000000000001</v>
      </c>
      <c r="T31" s="38">
        <v>0.48099999999999998</v>
      </c>
    </row>
    <row r="32" spans="1:40" x14ac:dyDescent="0.15">
      <c r="A32" s="36" t="s">
        <v>115</v>
      </c>
      <c r="B32" s="37" t="s">
        <v>116</v>
      </c>
      <c r="C32" s="38">
        <v>240893</v>
      </c>
      <c r="D32" s="38" t="b">
        <v>0</v>
      </c>
      <c r="E32" s="38">
        <v>30</v>
      </c>
      <c r="F32" s="38" t="s">
        <v>54</v>
      </c>
      <c r="G32" s="38" t="s">
        <v>55</v>
      </c>
      <c r="H32" s="39">
        <v>45401</v>
      </c>
      <c r="I32" s="38">
        <v>31</v>
      </c>
      <c r="J32" s="38" t="s">
        <v>56</v>
      </c>
      <c r="K32" s="38" t="s">
        <v>57</v>
      </c>
      <c r="L32" s="38" t="s">
        <v>58</v>
      </c>
      <c r="M32" s="38">
        <v>0.47599999999999998</v>
      </c>
      <c r="N32" s="38">
        <v>0.38600000000000001</v>
      </c>
      <c r="O32" s="38">
        <v>-10.601000000000001</v>
      </c>
      <c r="P32" s="38">
        <v>0.03</v>
      </c>
      <c r="Q32" s="38">
        <v>0.79100000000000004</v>
      </c>
      <c r="R32" s="38">
        <v>4.2299999999999998E-4</v>
      </c>
      <c r="S32" s="38">
        <v>0.1</v>
      </c>
      <c r="T32" s="38">
        <v>0.158</v>
      </c>
    </row>
    <row r="33" spans="1:20" x14ac:dyDescent="0.15">
      <c r="A33" s="36" t="s">
        <v>117</v>
      </c>
      <c r="B33" s="37" t="s">
        <v>118</v>
      </c>
      <c r="C33" s="38">
        <v>224743</v>
      </c>
      <c r="D33" s="38" t="b">
        <v>0</v>
      </c>
      <c r="E33" s="38">
        <v>31</v>
      </c>
      <c r="F33" s="38" t="s">
        <v>54</v>
      </c>
      <c r="G33" s="38" t="s">
        <v>55</v>
      </c>
      <c r="H33" s="39">
        <v>45401</v>
      </c>
      <c r="I33" s="38">
        <v>31</v>
      </c>
      <c r="J33" s="38" t="s">
        <v>56</v>
      </c>
      <c r="K33" s="38" t="s">
        <v>57</v>
      </c>
      <c r="L33" s="38" t="s">
        <v>58</v>
      </c>
      <c r="M33" s="38">
        <v>0.50900000000000001</v>
      </c>
      <c r="N33" s="38">
        <v>0.25600000000000001</v>
      </c>
      <c r="O33" s="38">
        <v>-11.664999999999999</v>
      </c>
      <c r="P33" s="38">
        <v>3.0599999999999999E-2</v>
      </c>
      <c r="Q33" s="38">
        <v>0.90100000000000002</v>
      </c>
      <c r="R33" s="38">
        <v>2.43E-6</v>
      </c>
      <c r="S33" s="38">
        <v>0.10299999999999999</v>
      </c>
      <c r="T33" s="38">
        <v>0.436</v>
      </c>
    </row>
    <row r="34" spans="1:20" x14ac:dyDescent="0.15">
      <c r="A34" s="36" t="s">
        <v>52</v>
      </c>
      <c r="B34" s="37" t="s">
        <v>119</v>
      </c>
      <c r="C34" s="38">
        <v>228965</v>
      </c>
      <c r="D34" s="38" t="b">
        <v>0</v>
      </c>
      <c r="E34" s="38">
        <v>1</v>
      </c>
      <c r="F34" s="38" t="s">
        <v>120</v>
      </c>
      <c r="G34" s="38" t="s">
        <v>121</v>
      </c>
      <c r="H34" s="39">
        <v>45400</v>
      </c>
      <c r="I34" s="38">
        <v>16</v>
      </c>
      <c r="J34" s="38" t="s">
        <v>56</v>
      </c>
      <c r="K34" s="38" t="s">
        <v>57</v>
      </c>
      <c r="L34" s="38" t="s">
        <v>58</v>
      </c>
      <c r="M34" s="38">
        <v>0.504</v>
      </c>
      <c r="N34" s="38">
        <v>0.38600000000000001</v>
      </c>
      <c r="O34" s="38">
        <v>-10.976000000000001</v>
      </c>
      <c r="P34" s="38">
        <v>3.0800000000000001E-2</v>
      </c>
      <c r="Q34" s="38">
        <v>0.502</v>
      </c>
      <c r="R34" s="38">
        <v>1.5299999999999999E-5</v>
      </c>
      <c r="S34" s="38">
        <v>9.6100000000000005E-2</v>
      </c>
      <c r="T34" s="38">
        <v>0.28100000000000003</v>
      </c>
    </row>
    <row r="35" spans="1:20" x14ac:dyDescent="0.15">
      <c r="A35" s="36" t="s">
        <v>59</v>
      </c>
      <c r="B35" s="37" t="s">
        <v>122</v>
      </c>
      <c r="C35" s="38">
        <v>293048</v>
      </c>
      <c r="D35" s="38" t="b">
        <v>1</v>
      </c>
      <c r="E35" s="38">
        <v>2</v>
      </c>
      <c r="F35" s="38" t="s">
        <v>120</v>
      </c>
      <c r="G35" s="38" t="s">
        <v>121</v>
      </c>
      <c r="H35" s="39">
        <v>45400</v>
      </c>
      <c r="I35" s="38">
        <v>16</v>
      </c>
      <c r="J35" s="38" t="s">
        <v>56</v>
      </c>
      <c r="K35" s="38" t="s">
        <v>57</v>
      </c>
      <c r="L35" s="38" t="s">
        <v>58</v>
      </c>
      <c r="M35" s="38">
        <v>0.60399999999999998</v>
      </c>
      <c r="N35" s="38">
        <v>0.42799999999999999</v>
      </c>
      <c r="O35" s="38">
        <v>-8.4410000000000007</v>
      </c>
      <c r="P35" s="38">
        <v>2.5499999999999998E-2</v>
      </c>
      <c r="Q35" s="38">
        <v>4.8300000000000003E-2</v>
      </c>
      <c r="R35" s="38">
        <v>0</v>
      </c>
      <c r="S35" s="38">
        <v>0.126</v>
      </c>
      <c r="T35" s="38">
        <v>0.29199999999999998</v>
      </c>
    </row>
    <row r="36" spans="1:20" x14ac:dyDescent="0.15">
      <c r="A36" s="36" t="s">
        <v>61</v>
      </c>
      <c r="B36" s="37" t="s">
        <v>123</v>
      </c>
      <c r="C36" s="38">
        <v>203801</v>
      </c>
      <c r="D36" s="38" t="b">
        <v>0</v>
      </c>
      <c r="E36" s="38">
        <v>3</v>
      </c>
      <c r="F36" s="38" t="s">
        <v>120</v>
      </c>
      <c r="G36" s="38" t="s">
        <v>121</v>
      </c>
      <c r="H36" s="39">
        <v>45400</v>
      </c>
      <c r="I36" s="38">
        <v>16</v>
      </c>
      <c r="J36" s="38" t="s">
        <v>56</v>
      </c>
      <c r="K36" s="38" t="s">
        <v>57</v>
      </c>
      <c r="L36" s="38" t="s">
        <v>58</v>
      </c>
      <c r="M36" s="38">
        <v>0.59599999999999997</v>
      </c>
      <c r="N36" s="38">
        <v>0.56299999999999994</v>
      </c>
      <c r="O36" s="38">
        <v>-7.3620000000000001</v>
      </c>
      <c r="P36" s="38">
        <v>2.69E-2</v>
      </c>
      <c r="Q36" s="38">
        <v>0.13700000000000001</v>
      </c>
      <c r="R36" s="38">
        <v>0</v>
      </c>
      <c r="S36" s="38">
        <v>0.30199999999999999</v>
      </c>
      <c r="T36" s="38">
        <v>0.48099999999999998</v>
      </c>
    </row>
    <row r="37" spans="1:20" x14ac:dyDescent="0.15">
      <c r="A37" s="36" t="s">
        <v>63</v>
      </c>
      <c r="B37" s="37" t="s">
        <v>124</v>
      </c>
      <c r="C37" s="38">
        <v>261228</v>
      </c>
      <c r="D37" s="38" t="b">
        <v>1</v>
      </c>
      <c r="E37" s="38">
        <v>4</v>
      </c>
      <c r="F37" s="38" t="s">
        <v>120</v>
      </c>
      <c r="G37" s="38" t="s">
        <v>121</v>
      </c>
      <c r="H37" s="39">
        <v>45400</v>
      </c>
      <c r="I37" s="38">
        <v>16</v>
      </c>
      <c r="J37" s="38" t="s">
        <v>56</v>
      </c>
      <c r="K37" s="38" t="s">
        <v>57</v>
      </c>
      <c r="L37" s="38" t="s">
        <v>58</v>
      </c>
      <c r="M37" s="38">
        <v>0.54100000000000004</v>
      </c>
      <c r="N37" s="38">
        <v>0.36599999999999999</v>
      </c>
      <c r="O37" s="38">
        <v>-10.412000000000001</v>
      </c>
      <c r="P37" s="38">
        <v>7.4800000000000005E-2</v>
      </c>
      <c r="Q37" s="38">
        <v>0.56000000000000005</v>
      </c>
      <c r="R37" s="38">
        <v>9.9999999999999995E-7</v>
      </c>
      <c r="S37" s="38">
        <v>9.4600000000000004E-2</v>
      </c>
      <c r="T37" s="38">
        <v>0.16800000000000001</v>
      </c>
    </row>
    <row r="38" spans="1:20" x14ac:dyDescent="0.15">
      <c r="A38" s="36" t="s">
        <v>65</v>
      </c>
      <c r="B38" s="37" t="s">
        <v>125</v>
      </c>
      <c r="C38" s="38">
        <v>262974</v>
      </c>
      <c r="D38" s="38" t="b">
        <v>0</v>
      </c>
      <c r="E38" s="38">
        <v>5</v>
      </c>
      <c r="F38" s="38" t="s">
        <v>120</v>
      </c>
      <c r="G38" s="38" t="s">
        <v>121</v>
      </c>
      <c r="H38" s="39">
        <v>45400</v>
      </c>
      <c r="I38" s="38">
        <v>16</v>
      </c>
      <c r="J38" s="38" t="s">
        <v>56</v>
      </c>
      <c r="K38" s="38" t="s">
        <v>57</v>
      </c>
      <c r="L38" s="38" t="s">
        <v>58</v>
      </c>
      <c r="M38" s="38">
        <v>0.42299999999999999</v>
      </c>
      <c r="N38" s="38">
        <v>0.53300000000000003</v>
      </c>
      <c r="O38" s="38">
        <v>-11.388</v>
      </c>
      <c r="P38" s="38">
        <v>0.32200000000000001</v>
      </c>
      <c r="Q38" s="38">
        <v>0.73</v>
      </c>
      <c r="R38" s="38">
        <v>2.64E-3</v>
      </c>
      <c r="S38" s="38">
        <v>8.1600000000000006E-2</v>
      </c>
      <c r="T38" s="38">
        <v>0.248</v>
      </c>
    </row>
    <row r="39" spans="1:20" x14ac:dyDescent="0.15">
      <c r="A39" s="36" t="s">
        <v>67</v>
      </c>
      <c r="B39" s="37" t="s">
        <v>126</v>
      </c>
      <c r="C39" s="38">
        <v>340428</v>
      </c>
      <c r="D39" s="38" t="b">
        <v>1</v>
      </c>
      <c r="E39" s="38">
        <v>6</v>
      </c>
      <c r="F39" s="38" t="s">
        <v>120</v>
      </c>
      <c r="G39" s="38" t="s">
        <v>121</v>
      </c>
      <c r="H39" s="39">
        <v>45400</v>
      </c>
      <c r="I39" s="38">
        <v>16</v>
      </c>
      <c r="J39" s="38" t="s">
        <v>56</v>
      </c>
      <c r="K39" s="38" t="s">
        <v>57</v>
      </c>
      <c r="L39" s="38" t="s">
        <v>58</v>
      </c>
      <c r="M39" s="38">
        <v>0.52100000000000002</v>
      </c>
      <c r="N39" s="38">
        <v>0.72</v>
      </c>
      <c r="O39" s="38">
        <v>-7.6840000000000002</v>
      </c>
      <c r="P39" s="38">
        <v>0.104</v>
      </c>
      <c r="Q39" s="38">
        <v>0.38400000000000001</v>
      </c>
      <c r="R39" s="38">
        <v>0</v>
      </c>
      <c r="S39" s="38">
        <v>0.13500000000000001</v>
      </c>
      <c r="T39" s="38">
        <v>0.438</v>
      </c>
    </row>
    <row r="40" spans="1:20" x14ac:dyDescent="0.15">
      <c r="A40" s="36" t="s">
        <v>69</v>
      </c>
      <c r="B40" s="37" t="s">
        <v>127</v>
      </c>
      <c r="C40" s="38">
        <v>210789</v>
      </c>
      <c r="D40" s="38" t="b">
        <v>0</v>
      </c>
      <c r="E40" s="38">
        <v>7</v>
      </c>
      <c r="F40" s="38" t="s">
        <v>120</v>
      </c>
      <c r="G40" s="38" t="s">
        <v>121</v>
      </c>
      <c r="H40" s="39">
        <v>45400</v>
      </c>
      <c r="I40" s="38">
        <v>16</v>
      </c>
      <c r="J40" s="38" t="s">
        <v>56</v>
      </c>
      <c r="K40" s="38" t="s">
        <v>57</v>
      </c>
      <c r="L40" s="38" t="s">
        <v>58</v>
      </c>
      <c r="M40" s="38">
        <v>0.33</v>
      </c>
      <c r="N40" s="38">
        <v>0.48299999999999998</v>
      </c>
      <c r="O40" s="38">
        <v>-9.3940000000000001</v>
      </c>
      <c r="P40" s="38">
        <v>3.9899999999999998E-2</v>
      </c>
      <c r="Q40" s="38">
        <v>0.624</v>
      </c>
      <c r="R40" s="38">
        <v>0</v>
      </c>
      <c r="S40" s="38">
        <v>0.111</v>
      </c>
      <c r="T40" s="38">
        <v>0.34</v>
      </c>
    </row>
    <row r="41" spans="1:20" x14ac:dyDescent="0.15">
      <c r="A41" s="36" t="s">
        <v>71</v>
      </c>
      <c r="B41" s="37" t="s">
        <v>128</v>
      </c>
      <c r="C41" s="38">
        <v>215463</v>
      </c>
      <c r="D41" s="38" t="b">
        <v>1</v>
      </c>
      <c r="E41" s="38">
        <v>8</v>
      </c>
      <c r="F41" s="38" t="s">
        <v>120</v>
      </c>
      <c r="G41" s="38" t="s">
        <v>121</v>
      </c>
      <c r="H41" s="39">
        <v>45400</v>
      </c>
      <c r="I41" s="38">
        <v>16</v>
      </c>
      <c r="J41" s="38" t="s">
        <v>56</v>
      </c>
      <c r="K41" s="38" t="s">
        <v>57</v>
      </c>
      <c r="L41" s="38" t="s">
        <v>58</v>
      </c>
      <c r="M41" s="38">
        <v>0.53300000000000003</v>
      </c>
      <c r="N41" s="38">
        <v>0.57299999999999995</v>
      </c>
      <c r="O41" s="38">
        <v>-7.1230000000000002</v>
      </c>
      <c r="P41" s="38">
        <v>0.13800000000000001</v>
      </c>
      <c r="Q41" s="38">
        <v>0.17799999999999999</v>
      </c>
      <c r="R41" s="38">
        <v>0</v>
      </c>
      <c r="S41" s="38">
        <v>0.309</v>
      </c>
      <c r="T41" s="38">
        <v>0.39800000000000002</v>
      </c>
    </row>
    <row r="42" spans="1:20" x14ac:dyDescent="0.15">
      <c r="A42" s="36" t="s">
        <v>73</v>
      </c>
      <c r="B42" s="37" t="s">
        <v>129</v>
      </c>
      <c r="C42" s="38">
        <v>254365</v>
      </c>
      <c r="D42" s="38" t="b">
        <v>0</v>
      </c>
      <c r="E42" s="38">
        <v>9</v>
      </c>
      <c r="F42" s="38" t="s">
        <v>120</v>
      </c>
      <c r="G42" s="38" t="s">
        <v>121</v>
      </c>
      <c r="H42" s="39">
        <v>45400</v>
      </c>
      <c r="I42" s="38">
        <v>16</v>
      </c>
      <c r="J42" s="38" t="s">
        <v>56</v>
      </c>
      <c r="K42" s="38" t="s">
        <v>57</v>
      </c>
      <c r="L42" s="38" t="s">
        <v>58</v>
      </c>
      <c r="M42" s="38">
        <v>0.626</v>
      </c>
      <c r="N42" s="38">
        <v>0.42799999999999999</v>
      </c>
      <c r="O42" s="38">
        <v>-8.3740000000000006</v>
      </c>
      <c r="P42" s="38">
        <v>2.6100000000000002E-2</v>
      </c>
      <c r="Q42" s="38">
        <v>0.60699999999999998</v>
      </c>
      <c r="R42" s="38">
        <v>0</v>
      </c>
      <c r="S42" s="38">
        <v>9.2100000000000001E-2</v>
      </c>
      <c r="T42" s="38">
        <v>0.48699999999999999</v>
      </c>
    </row>
    <row r="43" spans="1:20" x14ac:dyDescent="0.15">
      <c r="A43" s="36" t="s">
        <v>75</v>
      </c>
      <c r="B43" s="37" t="s">
        <v>130</v>
      </c>
      <c r="C43" s="38">
        <v>334084</v>
      </c>
      <c r="D43" s="38" t="b">
        <v>0</v>
      </c>
      <c r="E43" s="38">
        <v>10</v>
      </c>
      <c r="F43" s="38" t="s">
        <v>120</v>
      </c>
      <c r="G43" s="38" t="s">
        <v>121</v>
      </c>
      <c r="H43" s="39">
        <v>45400</v>
      </c>
      <c r="I43" s="38">
        <v>16</v>
      </c>
      <c r="J43" s="38" t="s">
        <v>56</v>
      </c>
      <c r="K43" s="38" t="s">
        <v>57</v>
      </c>
      <c r="L43" s="38" t="s">
        <v>58</v>
      </c>
      <c r="M43" s="38">
        <v>0.60599999999999998</v>
      </c>
      <c r="N43" s="38">
        <v>0.33800000000000002</v>
      </c>
      <c r="O43" s="38">
        <v>-10.555</v>
      </c>
      <c r="P43" s="38">
        <v>4.8000000000000001E-2</v>
      </c>
      <c r="Q43" s="38">
        <v>0.315</v>
      </c>
      <c r="R43" s="38">
        <v>0</v>
      </c>
      <c r="S43" s="38">
        <v>0.106</v>
      </c>
      <c r="T43" s="38">
        <v>0.23799999999999999</v>
      </c>
    </row>
    <row r="44" spans="1:20" x14ac:dyDescent="0.15">
      <c r="A44" s="36" t="s">
        <v>77</v>
      </c>
      <c r="B44" s="37" t="s">
        <v>131</v>
      </c>
      <c r="C44" s="38">
        <v>156297</v>
      </c>
      <c r="D44" s="38" t="b">
        <v>0</v>
      </c>
      <c r="E44" s="38">
        <v>11</v>
      </c>
      <c r="F44" s="38" t="s">
        <v>120</v>
      </c>
      <c r="G44" s="38" t="s">
        <v>121</v>
      </c>
      <c r="H44" s="39">
        <v>45400</v>
      </c>
      <c r="I44" s="38">
        <v>16</v>
      </c>
      <c r="J44" s="38" t="s">
        <v>56</v>
      </c>
      <c r="K44" s="38" t="s">
        <v>57</v>
      </c>
      <c r="L44" s="38" t="s">
        <v>58</v>
      </c>
      <c r="M44" s="38">
        <v>0.66100000000000003</v>
      </c>
      <c r="N44" s="38">
        <v>0.25700000000000001</v>
      </c>
      <c r="O44" s="38">
        <v>-13.961</v>
      </c>
      <c r="P44" s="38">
        <v>4.4999999999999998E-2</v>
      </c>
      <c r="Q44" s="38">
        <v>0.76800000000000002</v>
      </c>
      <c r="R44" s="38">
        <v>1.72E-6</v>
      </c>
      <c r="S44" s="38">
        <v>0.17599999999999999</v>
      </c>
      <c r="T44" s="38">
        <v>0.318</v>
      </c>
    </row>
    <row r="45" spans="1:20" x14ac:dyDescent="0.15">
      <c r="A45" s="36" t="s">
        <v>79</v>
      </c>
      <c r="B45" s="37" t="s">
        <v>132</v>
      </c>
      <c r="C45" s="38">
        <v>277156</v>
      </c>
      <c r="D45" s="38" t="b">
        <v>1</v>
      </c>
      <c r="E45" s="38">
        <v>12</v>
      </c>
      <c r="F45" s="38" t="s">
        <v>120</v>
      </c>
      <c r="G45" s="38" t="s">
        <v>121</v>
      </c>
      <c r="H45" s="39">
        <v>45400</v>
      </c>
      <c r="I45" s="38">
        <v>16</v>
      </c>
      <c r="J45" s="38" t="s">
        <v>56</v>
      </c>
      <c r="K45" s="38" t="s">
        <v>57</v>
      </c>
      <c r="L45" s="38" t="s">
        <v>58</v>
      </c>
      <c r="M45" s="38">
        <v>0.42299999999999999</v>
      </c>
      <c r="N45" s="38">
        <v>0.27200000000000002</v>
      </c>
      <c r="O45" s="38">
        <v>-12.56</v>
      </c>
      <c r="P45" s="38">
        <v>4.8899999999999999E-2</v>
      </c>
      <c r="Q45" s="38">
        <v>0.85799999999999998</v>
      </c>
      <c r="R45" s="38">
        <v>0</v>
      </c>
      <c r="S45" s="38">
        <v>0.108</v>
      </c>
      <c r="T45" s="38">
        <v>0.19500000000000001</v>
      </c>
    </row>
    <row r="46" spans="1:20" x14ac:dyDescent="0.15">
      <c r="A46" s="36" t="s">
        <v>81</v>
      </c>
      <c r="B46" s="37" t="s">
        <v>133</v>
      </c>
      <c r="C46" s="38">
        <v>218004</v>
      </c>
      <c r="D46" s="38" t="b">
        <v>1</v>
      </c>
      <c r="E46" s="38">
        <v>13</v>
      </c>
      <c r="F46" s="38" t="s">
        <v>120</v>
      </c>
      <c r="G46" s="38" t="s">
        <v>121</v>
      </c>
      <c r="H46" s="39">
        <v>45400</v>
      </c>
      <c r="I46" s="38">
        <v>16</v>
      </c>
      <c r="J46" s="38" t="s">
        <v>56</v>
      </c>
      <c r="K46" s="38" t="s">
        <v>57</v>
      </c>
      <c r="L46" s="38" t="s">
        <v>58</v>
      </c>
      <c r="M46" s="38">
        <v>0.70099999999999996</v>
      </c>
      <c r="N46" s="38">
        <v>0.751</v>
      </c>
      <c r="O46" s="38">
        <v>-8.39</v>
      </c>
      <c r="P46" s="38">
        <v>5.0200000000000002E-2</v>
      </c>
      <c r="Q46" s="38">
        <v>0.123</v>
      </c>
      <c r="R46" s="38">
        <v>0</v>
      </c>
      <c r="S46" s="38">
        <v>0.15</v>
      </c>
      <c r="T46" s="38">
        <v>0.22</v>
      </c>
    </row>
    <row r="47" spans="1:20" x14ac:dyDescent="0.15">
      <c r="A47" s="36" t="s">
        <v>83</v>
      </c>
      <c r="B47" s="37" t="s">
        <v>134</v>
      </c>
      <c r="C47" s="38">
        <v>245541</v>
      </c>
      <c r="D47" s="38" t="b">
        <v>1</v>
      </c>
      <c r="E47" s="38">
        <v>14</v>
      </c>
      <c r="F47" s="38" t="s">
        <v>120</v>
      </c>
      <c r="G47" s="38" t="s">
        <v>121</v>
      </c>
      <c r="H47" s="39">
        <v>45400</v>
      </c>
      <c r="I47" s="38">
        <v>16</v>
      </c>
      <c r="J47" s="38" t="s">
        <v>56</v>
      </c>
      <c r="K47" s="38" t="s">
        <v>57</v>
      </c>
      <c r="L47" s="38" t="s">
        <v>58</v>
      </c>
      <c r="M47" s="38">
        <v>0.42599999999999999</v>
      </c>
      <c r="N47" s="38">
        <v>0.41</v>
      </c>
      <c r="O47" s="38">
        <v>-9.0830000000000002</v>
      </c>
      <c r="P47" s="38">
        <v>5.8099999999999999E-2</v>
      </c>
      <c r="Q47" s="38">
        <v>0.52</v>
      </c>
      <c r="R47" s="38">
        <v>0</v>
      </c>
      <c r="S47" s="38">
        <v>0.33800000000000002</v>
      </c>
      <c r="T47" s="38">
        <v>0.26300000000000001</v>
      </c>
    </row>
    <row r="48" spans="1:20" x14ac:dyDescent="0.15">
      <c r="A48" s="36" t="s">
        <v>85</v>
      </c>
      <c r="B48" s="37" t="s">
        <v>135</v>
      </c>
      <c r="C48" s="38">
        <v>196900</v>
      </c>
      <c r="D48" s="38" t="b">
        <v>0</v>
      </c>
      <c r="E48" s="38">
        <v>15</v>
      </c>
      <c r="F48" s="38" t="s">
        <v>120</v>
      </c>
      <c r="G48" s="38" t="s">
        <v>121</v>
      </c>
      <c r="H48" s="39">
        <v>45400</v>
      </c>
      <c r="I48" s="38">
        <v>16</v>
      </c>
      <c r="J48" s="38" t="s">
        <v>56</v>
      </c>
      <c r="K48" s="38" t="s">
        <v>57</v>
      </c>
      <c r="L48" s="38" t="s">
        <v>58</v>
      </c>
      <c r="M48" s="38">
        <v>0.64</v>
      </c>
      <c r="N48" s="38">
        <v>0.42099999999999999</v>
      </c>
      <c r="O48" s="38">
        <v>-8.8019999999999996</v>
      </c>
      <c r="P48" s="38">
        <v>2.7300000000000001E-2</v>
      </c>
      <c r="Q48" s="38">
        <v>0.42199999999999999</v>
      </c>
      <c r="R48" s="38">
        <v>0</v>
      </c>
      <c r="S48" s="38">
        <v>0.10299999999999999</v>
      </c>
      <c r="T48" s="38">
        <v>0.35299999999999998</v>
      </c>
    </row>
    <row r="49" spans="1:20" x14ac:dyDescent="0.15">
      <c r="A49" s="36" t="s">
        <v>87</v>
      </c>
      <c r="B49" s="37" t="s">
        <v>136</v>
      </c>
      <c r="C49" s="38">
        <v>216662</v>
      </c>
      <c r="D49" s="38" t="b">
        <v>0</v>
      </c>
      <c r="E49" s="38">
        <v>16</v>
      </c>
      <c r="F49" s="38" t="s">
        <v>120</v>
      </c>
      <c r="G49" s="38" t="s">
        <v>121</v>
      </c>
      <c r="H49" s="39">
        <v>45400</v>
      </c>
      <c r="I49" s="38">
        <v>16</v>
      </c>
      <c r="J49" s="38" t="s">
        <v>56</v>
      </c>
      <c r="K49" s="38" t="s">
        <v>57</v>
      </c>
      <c r="L49" s="38" t="s">
        <v>58</v>
      </c>
      <c r="M49" s="38">
        <v>0.68600000000000005</v>
      </c>
      <c r="N49" s="38">
        <v>0.318</v>
      </c>
      <c r="O49" s="38">
        <v>-11.045999999999999</v>
      </c>
      <c r="P49" s="38">
        <v>2.63E-2</v>
      </c>
      <c r="Q49" s="38">
        <v>0.63600000000000001</v>
      </c>
      <c r="R49" s="38">
        <v>1.4400000000000001E-3</v>
      </c>
      <c r="S49" s="38">
        <v>0.106</v>
      </c>
      <c r="T49" s="38">
        <v>0.214</v>
      </c>
    </row>
    <row r="50" spans="1:20" x14ac:dyDescent="0.15">
      <c r="A50" s="36" t="s">
        <v>137</v>
      </c>
      <c r="B50" s="37" t="s">
        <v>138</v>
      </c>
      <c r="C50" s="38">
        <v>212600</v>
      </c>
      <c r="D50" s="38" t="b">
        <v>0</v>
      </c>
      <c r="E50" s="38">
        <v>1</v>
      </c>
      <c r="F50" s="38" t="s">
        <v>139</v>
      </c>
      <c r="G50" s="38" t="s">
        <v>140</v>
      </c>
      <c r="H50" s="39">
        <v>45226</v>
      </c>
      <c r="I50" s="38">
        <v>22</v>
      </c>
      <c r="J50" s="38" t="s">
        <v>56</v>
      </c>
      <c r="K50" s="38" t="s">
        <v>57</v>
      </c>
      <c r="L50" s="38" t="s">
        <v>58</v>
      </c>
      <c r="M50" s="38">
        <v>0.76</v>
      </c>
      <c r="N50" s="38">
        <v>0.60199999999999998</v>
      </c>
      <c r="O50" s="38">
        <v>-4.8710000000000004</v>
      </c>
      <c r="P50" s="38">
        <v>3.1600000000000003E-2</v>
      </c>
      <c r="Q50" s="38">
        <v>6.6100000000000004E-3</v>
      </c>
      <c r="R50" s="38">
        <v>1.3300000000000001E-4</v>
      </c>
      <c r="S50" s="38">
        <v>0.32500000000000001</v>
      </c>
      <c r="T50" s="38">
        <v>0.68500000000000005</v>
      </c>
    </row>
    <row r="51" spans="1:20" x14ac:dyDescent="0.15">
      <c r="A51" s="36" t="s">
        <v>141</v>
      </c>
      <c r="B51" s="37" t="s">
        <v>142</v>
      </c>
      <c r="C51" s="38">
        <v>231833</v>
      </c>
      <c r="D51" s="38" t="b">
        <v>0</v>
      </c>
      <c r="E51" s="38">
        <v>2</v>
      </c>
      <c r="F51" s="38" t="s">
        <v>139</v>
      </c>
      <c r="G51" s="38" t="s">
        <v>140</v>
      </c>
      <c r="H51" s="39">
        <v>45226</v>
      </c>
      <c r="I51" s="38">
        <v>22</v>
      </c>
      <c r="J51" s="38" t="s">
        <v>56</v>
      </c>
      <c r="K51" s="38" t="s">
        <v>57</v>
      </c>
      <c r="L51" s="38" t="s">
        <v>58</v>
      </c>
      <c r="M51" s="38">
        <v>0.73199999999999998</v>
      </c>
      <c r="N51" s="38">
        <v>0.71899999999999997</v>
      </c>
      <c r="O51" s="38">
        <v>-5.4690000000000003</v>
      </c>
      <c r="P51" s="38">
        <v>6.4500000000000002E-2</v>
      </c>
      <c r="Q51" s="38">
        <v>9.01E-2</v>
      </c>
      <c r="R51" s="38">
        <v>0</v>
      </c>
      <c r="S51" s="38">
        <v>0.33100000000000002</v>
      </c>
      <c r="T51" s="38">
        <v>0.71</v>
      </c>
    </row>
    <row r="52" spans="1:20" x14ac:dyDescent="0.15">
      <c r="A52" s="36" t="s">
        <v>143</v>
      </c>
      <c r="B52" s="37" t="s">
        <v>144</v>
      </c>
      <c r="C52" s="38">
        <v>231000</v>
      </c>
      <c r="D52" s="38" t="b">
        <v>0</v>
      </c>
      <c r="E52" s="38">
        <v>3</v>
      </c>
      <c r="F52" s="38" t="s">
        <v>139</v>
      </c>
      <c r="G52" s="38" t="s">
        <v>140</v>
      </c>
      <c r="H52" s="39">
        <v>45226</v>
      </c>
      <c r="I52" s="38">
        <v>22</v>
      </c>
      <c r="J52" s="38" t="s">
        <v>56</v>
      </c>
      <c r="K52" s="38" t="s">
        <v>57</v>
      </c>
      <c r="L52" s="38" t="s">
        <v>58</v>
      </c>
      <c r="M52" s="38">
        <v>0.51400000000000001</v>
      </c>
      <c r="N52" s="38">
        <v>0.82099999999999995</v>
      </c>
      <c r="O52" s="38">
        <v>-4.8029999999999999</v>
      </c>
      <c r="P52" s="38">
        <v>4.4400000000000002E-2</v>
      </c>
      <c r="Q52" s="38">
        <v>4.5600000000000003E-4</v>
      </c>
      <c r="R52" s="38">
        <v>2.3199999999999998E-2</v>
      </c>
      <c r="S52" s="38">
        <v>9.4600000000000004E-2</v>
      </c>
      <c r="T52" s="38">
        <v>0.29799999999999999</v>
      </c>
    </row>
    <row r="53" spans="1:20" x14ac:dyDescent="0.15">
      <c r="A53" s="36" t="s">
        <v>145</v>
      </c>
      <c r="B53" s="37" t="s">
        <v>146</v>
      </c>
      <c r="C53" s="38">
        <v>235800</v>
      </c>
      <c r="D53" s="38" t="b">
        <v>0</v>
      </c>
      <c r="E53" s="38">
        <v>4</v>
      </c>
      <c r="F53" s="38" t="s">
        <v>139</v>
      </c>
      <c r="G53" s="38" t="s">
        <v>140</v>
      </c>
      <c r="H53" s="39">
        <v>45226</v>
      </c>
      <c r="I53" s="38">
        <v>22</v>
      </c>
      <c r="J53" s="38" t="s">
        <v>56</v>
      </c>
      <c r="K53" s="38" t="s">
        <v>57</v>
      </c>
      <c r="L53" s="38" t="s">
        <v>58</v>
      </c>
      <c r="M53" s="38">
        <v>0.54400000000000004</v>
      </c>
      <c r="N53" s="38">
        <v>0.88400000000000001</v>
      </c>
      <c r="O53" s="38">
        <v>-5.9729999999999999</v>
      </c>
      <c r="P53" s="38">
        <v>3.8300000000000001E-2</v>
      </c>
      <c r="Q53" s="38">
        <v>4.66E-4</v>
      </c>
      <c r="R53" s="38">
        <v>1.34E-4</v>
      </c>
      <c r="S53" s="38">
        <v>0.38100000000000001</v>
      </c>
      <c r="T53" s="38">
        <v>0.184</v>
      </c>
    </row>
    <row r="54" spans="1:20" x14ac:dyDescent="0.15">
      <c r="A54" s="36" t="s">
        <v>147</v>
      </c>
      <c r="B54" s="37" t="s">
        <v>148</v>
      </c>
      <c r="C54" s="38">
        <v>193289</v>
      </c>
      <c r="D54" s="38" t="b">
        <v>0</v>
      </c>
      <c r="E54" s="38">
        <v>5</v>
      </c>
      <c r="F54" s="38" t="s">
        <v>139</v>
      </c>
      <c r="G54" s="38" t="s">
        <v>140</v>
      </c>
      <c r="H54" s="39">
        <v>45226</v>
      </c>
      <c r="I54" s="38">
        <v>22</v>
      </c>
      <c r="J54" s="38" t="s">
        <v>56</v>
      </c>
      <c r="K54" s="38" t="s">
        <v>57</v>
      </c>
      <c r="L54" s="38" t="s">
        <v>58</v>
      </c>
      <c r="M54" s="38">
        <v>0.58899999999999997</v>
      </c>
      <c r="N54" s="38">
        <v>0.71299999999999997</v>
      </c>
      <c r="O54" s="38">
        <v>-5.6139999999999999</v>
      </c>
      <c r="P54" s="38">
        <v>3.0800000000000001E-2</v>
      </c>
      <c r="Q54" s="38">
        <v>7.7800000000000005E-4</v>
      </c>
      <c r="R54" s="38">
        <v>0</v>
      </c>
      <c r="S54" s="38">
        <v>0.188</v>
      </c>
      <c r="T54" s="38">
        <v>0.54</v>
      </c>
    </row>
    <row r="55" spans="1:20" x14ac:dyDescent="0.15">
      <c r="A55" s="36" t="s">
        <v>149</v>
      </c>
      <c r="B55" s="37" t="s">
        <v>150</v>
      </c>
      <c r="C55" s="38">
        <v>219209</v>
      </c>
      <c r="D55" s="38" t="b">
        <v>0</v>
      </c>
      <c r="E55" s="38">
        <v>6</v>
      </c>
      <c r="F55" s="38" t="s">
        <v>139</v>
      </c>
      <c r="G55" s="38" t="s">
        <v>140</v>
      </c>
      <c r="H55" s="39">
        <v>45226</v>
      </c>
      <c r="I55" s="38">
        <v>22</v>
      </c>
      <c r="J55" s="38" t="s">
        <v>56</v>
      </c>
      <c r="K55" s="38" t="s">
        <v>57</v>
      </c>
      <c r="L55" s="38" t="s">
        <v>58</v>
      </c>
      <c r="M55" s="38">
        <v>0.63200000000000001</v>
      </c>
      <c r="N55" s="38">
        <v>0.80500000000000005</v>
      </c>
      <c r="O55" s="38">
        <v>-5.7069999999999999</v>
      </c>
      <c r="P55" s="38">
        <v>6.9000000000000006E-2</v>
      </c>
      <c r="Q55" s="38">
        <v>1.12E-2</v>
      </c>
      <c r="R55" s="38">
        <v>2.51E-5</v>
      </c>
      <c r="S55" s="38">
        <v>0.156</v>
      </c>
      <c r="T55" s="38">
        <v>0.90300000000000002</v>
      </c>
    </row>
    <row r="56" spans="1:20" x14ac:dyDescent="0.15">
      <c r="A56" s="36" t="s">
        <v>151</v>
      </c>
      <c r="B56" s="37" t="s">
        <v>152</v>
      </c>
      <c r="C56" s="38">
        <v>207650</v>
      </c>
      <c r="D56" s="38" t="b">
        <v>0</v>
      </c>
      <c r="E56" s="38">
        <v>7</v>
      </c>
      <c r="F56" s="38" t="s">
        <v>139</v>
      </c>
      <c r="G56" s="38" t="s">
        <v>140</v>
      </c>
      <c r="H56" s="39">
        <v>45226</v>
      </c>
      <c r="I56" s="38">
        <v>22</v>
      </c>
      <c r="J56" s="38" t="s">
        <v>56</v>
      </c>
      <c r="K56" s="38" t="s">
        <v>57</v>
      </c>
      <c r="L56" s="38" t="s">
        <v>58</v>
      </c>
      <c r="M56" s="38">
        <v>0.67100000000000004</v>
      </c>
      <c r="N56" s="38">
        <v>0.85299999999999998</v>
      </c>
      <c r="O56" s="38">
        <v>-6.5679999999999996</v>
      </c>
      <c r="P56" s="38">
        <v>4.1700000000000001E-2</v>
      </c>
      <c r="Q56" s="38">
        <v>3.8800000000000002E-3</v>
      </c>
      <c r="R56" s="38">
        <v>9.4800000000000007E-6</v>
      </c>
      <c r="S56" s="38">
        <v>8.1199999999999994E-2</v>
      </c>
      <c r="T56" s="38">
        <v>0.52300000000000002</v>
      </c>
    </row>
    <row r="57" spans="1:20" x14ac:dyDescent="0.15">
      <c r="A57" s="36" t="s">
        <v>153</v>
      </c>
      <c r="B57" s="37" t="s">
        <v>154</v>
      </c>
      <c r="C57" s="38">
        <v>211103</v>
      </c>
      <c r="D57" s="38" t="b">
        <v>0</v>
      </c>
      <c r="E57" s="38">
        <v>8</v>
      </c>
      <c r="F57" s="38" t="s">
        <v>139</v>
      </c>
      <c r="G57" s="38" t="s">
        <v>140</v>
      </c>
      <c r="H57" s="39">
        <v>45226</v>
      </c>
      <c r="I57" s="38">
        <v>22</v>
      </c>
      <c r="J57" s="38" t="s">
        <v>56</v>
      </c>
      <c r="K57" s="38" t="s">
        <v>57</v>
      </c>
      <c r="L57" s="38" t="s">
        <v>58</v>
      </c>
      <c r="M57" s="38">
        <v>0.624</v>
      </c>
      <c r="N57" s="38">
        <v>0.71099999999999997</v>
      </c>
      <c r="O57" s="38">
        <v>-6.3470000000000004</v>
      </c>
      <c r="P57" s="38">
        <v>0.159</v>
      </c>
      <c r="Q57" s="38">
        <v>3.6900000000000002E-2</v>
      </c>
      <c r="R57" s="38">
        <v>3.1300000000000001E-6</v>
      </c>
      <c r="S57" s="38">
        <v>0.19</v>
      </c>
      <c r="T57" s="38">
        <v>0.34699999999999998</v>
      </c>
    </row>
    <row r="58" spans="1:20" x14ac:dyDescent="0.15">
      <c r="A58" s="36" t="s">
        <v>155</v>
      </c>
      <c r="B58" s="37" t="s">
        <v>156</v>
      </c>
      <c r="C58" s="38">
        <v>220433</v>
      </c>
      <c r="D58" s="38" t="b">
        <v>0</v>
      </c>
      <c r="E58" s="38">
        <v>9</v>
      </c>
      <c r="F58" s="38" t="s">
        <v>139</v>
      </c>
      <c r="G58" s="38" t="s">
        <v>140</v>
      </c>
      <c r="H58" s="39">
        <v>45226</v>
      </c>
      <c r="I58" s="38">
        <v>22</v>
      </c>
      <c r="J58" s="38" t="s">
        <v>56</v>
      </c>
      <c r="K58" s="38" t="s">
        <v>57</v>
      </c>
      <c r="L58" s="38" t="s">
        <v>58</v>
      </c>
      <c r="M58" s="38">
        <v>0.58699999999999997</v>
      </c>
      <c r="N58" s="38">
        <v>0.66300000000000003</v>
      </c>
      <c r="O58" s="38">
        <v>-7.4390000000000001</v>
      </c>
      <c r="P58" s="38">
        <v>5.9799999999999999E-2</v>
      </c>
      <c r="Q58" s="38">
        <v>3.4799999999999998E-2</v>
      </c>
      <c r="R58" s="38">
        <v>9.9500000000000006E-5</v>
      </c>
      <c r="S58" s="38">
        <v>9.7100000000000006E-2</v>
      </c>
      <c r="T58" s="38">
        <v>0.53900000000000003</v>
      </c>
    </row>
    <row r="59" spans="1:20" x14ac:dyDescent="0.15">
      <c r="A59" s="36" t="s">
        <v>157</v>
      </c>
      <c r="B59" s="37" t="s">
        <v>158</v>
      </c>
      <c r="C59" s="38">
        <v>247533</v>
      </c>
      <c r="D59" s="38" t="b">
        <v>0</v>
      </c>
      <c r="E59" s="38">
        <v>10</v>
      </c>
      <c r="F59" s="38" t="s">
        <v>139</v>
      </c>
      <c r="G59" s="38" t="s">
        <v>140</v>
      </c>
      <c r="H59" s="39">
        <v>45226</v>
      </c>
      <c r="I59" s="38">
        <v>22</v>
      </c>
      <c r="J59" s="38" t="s">
        <v>56</v>
      </c>
      <c r="K59" s="38" t="s">
        <v>57</v>
      </c>
      <c r="L59" s="38" t="s">
        <v>58</v>
      </c>
      <c r="M59" s="38">
        <v>0.76100000000000001</v>
      </c>
      <c r="N59" s="38">
        <v>0.67</v>
      </c>
      <c r="O59" s="38">
        <v>-5.9560000000000004</v>
      </c>
      <c r="P59" s="38">
        <v>5.3699999999999998E-2</v>
      </c>
      <c r="Q59" s="38">
        <v>1.98E-3</v>
      </c>
      <c r="R59" s="38">
        <v>1.08E-5</v>
      </c>
      <c r="S59" s="38">
        <v>8.7300000000000003E-2</v>
      </c>
      <c r="T59" s="38">
        <v>0.51900000000000002</v>
      </c>
    </row>
    <row r="60" spans="1:20" x14ac:dyDescent="0.15">
      <c r="A60" s="36" t="s">
        <v>159</v>
      </c>
      <c r="B60" s="37" t="s">
        <v>160</v>
      </c>
      <c r="C60" s="38">
        <v>250100</v>
      </c>
      <c r="D60" s="38" t="b">
        <v>0</v>
      </c>
      <c r="E60" s="38">
        <v>11</v>
      </c>
      <c r="F60" s="38" t="s">
        <v>139</v>
      </c>
      <c r="G60" s="38" t="s">
        <v>140</v>
      </c>
      <c r="H60" s="39">
        <v>45226</v>
      </c>
      <c r="I60" s="38">
        <v>22</v>
      </c>
      <c r="J60" s="38" t="s">
        <v>56</v>
      </c>
      <c r="K60" s="38" t="s">
        <v>57</v>
      </c>
      <c r="L60" s="38" t="s">
        <v>58</v>
      </c>
      <c r="M60" s="38">
        <v>0.47</v>
      </c>
      <c r="N60" s="38">
        <v>0.49399999999999999</v>
      </c>
      <c r="O60" s="38">
        <v>-8.6720000000000006</v>
      </c>
      <c r="P60" s="38">
        <v>3.49E-2</v>
      </c>
      <c r="Q60" s="38">
        <v>0.30199999999999999</v>
      </c>
      <c r="R60" s="38">
        <v>0</v>
      </c>
      <c r="S60" s="38">
        <v>6.7199999999999996E-2</v>
      </c>
      <c r="T60" s="38">
        <v>5.2400000000000002E-2</v>
      </c>
    </row>
    <row r="61" spans="1:20" x14ac:dyDescent="0.15">
      <c r="A61" s="36" t="s">
        <v>161</v>
      </c>
      <c r="B61" s="37" t="s">
        <v>162</v>
      </c>
      <c r="C61" s="38">
        <v>195700</v>
      </c>
      <c r="D61" s="38" t="b">
        <v>0</v>
      </c>
      <c r="E61" s="38">
        <v>12</v>
      </c>
      <c r="F61" s="38" t="s">
        <v>139</v>
      </c>
      <c r="G61" s="38" t="s">
        <v>140</v>
      </c>
      <c r="H61" s="39">
        <v>45226</v>
      </c>
      <c r="I61" s="38">
        <v>22</v>
      </c>
      <c r="J61" s="38" t="s">
        <v>56</v>
      </c>
      <c r="K61" s="38" t="s">
        <v>57</v>
      </c>
      <c r="L61" s="38" t="s">
        <v>58</v>
      </c>
      <c r="M61" s="38">
        <v>0.57199999999999995</v>
      </c>
      <c r="N61" s="38">
        <v>0.80700000000000005</v>
      </c>
      <c r="O61" s="38">
        <v>-5.3479999999999999</v>
      </c>
      <c r="P61" s="38">
        <v>5.74E-2</v>
      </c>
      <c r="Q61" s="38">
        <v>8.4599999999999995E-2</v>
      </c>
      <c r="R61" s="38">
        <v>0</v>
      </c>
      <c r="S61" s="38">
        <v>7.0999999999999994E-2</v>
      </c>
      <c r="T61" s="38">
        <v>0.626</v>
      </c>
    </row>
    <row r="62" spans="1:20" x14ac:dyDescent="0.15">
      <c r="A62" s="36" t="s">
        <v>163</v>
      </c>
      <c r="B62" s="37" t="s">
        <v>164</v>
      </c>
      <c r="C62" s="38">
        <v>271000</v>
      </c>
      <c r="D62" s="38" t="b">
        <v>0</v>
      </c>
      <c r="E62" s="38">
        <v>13</v>
      </c>
      <c r="F62" s="38" t="s">
        <v>139</v>
      </c>
      <c r="G62" s="38" t="s">
        <v>140</v>
      </c>
      <c r="H62" s="39">
        <v>45226</v>
      </c>
      <c r="I62" s="38">
        <v>22</v>
      </c>
      <c r="J62" s="38" t="s">
        <v>56</v>
      </c>
      <c r="K62" s="38" t="s">
        <v>57</v>
      </c>
      <c r="L62" s="38" t="s">
        <v>58</v>
      </c>
      <c r="M62" s="38">
        <v>0.78200000000000003</v>
      </c>
      <c r="N62" s="38">
        <v>0.379</v>
      </c>
      <c r="O62" s="38">
        <v>-8.9640000000000004</v>
      </c>
      <c r="P62" s="38">
        <v>3.0300000000000001E-2</v>
      </c>
      <c r="Q62" s="38">
        <v>0.29699999999999999</v>
      </c>
      <c r="R62" s="38">
        <v>2.9799999999999999E-5</v>
      </c>
      <c r="S62" s="38">
        <v>0.10299999999999999</v>
      </c>
      <c r="T62" s="38">
        <v>0.26700000000000002</v>
      </c>
    </row>
    <row r="63" spans="1:20" x14ac:dyDescent="0.15">
      <c r="A63" s="36" t="s">
        <v>165</v>
      </c>
      <c r="B63" s="37" t="s">
        <v>166</v>
      </c>
      <c r="C63" s="38">
        <v>245566</v>
      </c>
      <c r="D63" s="38" t="b">
        <v>0</v>
      </c>
      <c r="E63" s="38">
        <v>14</v>
      </c>
      <c r="F63" s="38" t="s">
        <v>139</v>
      </c>
      <c r="G63" s="38" t="s">
        <v>140</v>
      </c>
      <c r="H63" s="39">
        <v>45226</v>
      </c>
      <c r="I63" s="38">
        <v>22</v>
      </c>
      <c r="J63" s="38" t="s">
        <v>56</v>
      </c>
      <c r="K63" s="38" t="s">
        <v>57</v>
      </c>
      <c r="L63" s="38" t="s">
        <v>58</v>
      </c>
      <c r="M63" s="38">
        <v>0.38700000000000001</v>
      </c>
      <c r="N63" s="38">
        <v>0.70299999999999996</v>
      </c>
      <c r="O63" s="38">
        <v>-5.9560000000000004</v>
      </c>
      <c r="P63" s="38">
        <v>5.45E-2</v>
      </c>
      <c r="Q63" s="38">
        <v>1.0500000000000001E-2</v>
      </c>
      <c r="R63" s="38">
        <v>1.1E-5</v>
      </c>
      <c r="S63" s="38">
        <v>0.128</v>
      </c>
      <c r="T63" s="38">
        <v>0.32</v>
      </c>
    </row>
    <row r="64" spans="1:20" x14ac:dyDescent="0.15">
      <c r="A64" s="36" t="s">
        <v>167</v>
      </c>
      <c r="B64" s="37" t="s">
        <v>168</v>
      </c>
      <c r="C64" s="38">
        <v>267389</v>
      </c>
      <c r="D64" s="38" t="b">
        <v>0</v>
      </c>
      <c r="E64" s="38">
        <v>15</v>
      </c>
      <c r="F64" s="38" t="s">
        <v>139</v>
      </c>
      <c r="G64" s="38" t="s">
        <v>140</v>
      </c>
      <c r="H64" s="39">
        <v>45226</v>
      </c>
      <c r="I64" s="38">
        <v>22</v>
      </c>
      <c r="J64" s="38" t="s">
        <v>56</v>
      </c>
      <c r="K64" s="38" t="s">
        <v>57</v>
      </c>
      <c r="L64" s="38" t="s">
        <v>58</v>
      </c>
      <c r="M64" s="38">
        <v>0.55400000000000005</v>
      </c>
      <c r="N64" s="38">
        <v>0.50900000000000001</v>
      </c>
      <c r="O64" s="38">
        <v>-9.4030000000000005</v>
      </c>
      <c r="P64" s="38">
        <v>4.5499999999999999E-2</v>
      </c>
      <c r="Q64" s="38">
        <v>0.57199999999999995</v>
      </c>
      <c r="R64" s="38">
        <v>2.08E-6</v>
      </c>
      <c r="S64" s="38">
        <v>0.113</v>
      </c>
      <c r="T64" s="38">
        <v>0.40100000000000002</v>
      </c>
    </row>
    <row r="65" spans="1:20" x14ac:dyDescent="0.15">
      <c r="A65" s="36" t="s">
        <v>169</v>
      </c>
      <c r="B65" s="37" t="s">
        <v>170</v>
      </c>
      <c r="C65" s="38">
        <v>230177</v>
      </c>
      <c r="D65" s="38" t="b">
        <v>0</v>
      </c>
      <c r="E65" s="38">
        <v>16</v>
      </c>
      <c r="F65" s="38" t="s">
        <v>139</v>
      </c>
      <c r="G65" s="38" t="s">
        <v>140</v>
      </c>
      <c r="H65" s="39">
        <v>45226</v>
      </c>
      <c r="I65" s="38">
        <v>22</v>
      </c>
      <c r="J65" s="38" t="s">
        <v>56</v>
      </c>
      <c r="K65" s="38" t="s">
        <v>57</v>
      </c>
      <c r="L65" s="38" t="s">
        <v>58</v>
      </c>
      <c r="M65" s="38">
        <v>0.65300000000000002</v>
      </c>
      <c r="N65" s="38">
        <v>0.84799999999999998</v>
      </c>
      <c r="O65" s="38">
        <v>-5.9359999999999999</v>
      </c>
      <c r="P65" s="38">
        <v>5.8299999999999998E-2</v>
      </c>
      <c r="Q65" s="38">
        <v>5.1599999999999997E-3</v>
      </c>
      <c r="R65" s="38">
        <v>4.2400000000000001E-6</v>
      </c>
      <c r="S65" s="38">
        <v>7.9799999999999996E-2</v>
      </c>
      <c r="T65" s="38">
        <v>0.72399999999999998</v>
      </c>
    </row>
    <row r="66" spans="1:20" x14ac:dyDescent="0.15">
      <c r="A66" s="36" t="s">
        <v>171</v>
      </c>
      <c r="B66" s="37" t="s">
        <v>172</v>
      </c>
      <c r="C66" s="38">
        <v>180381</v>
      </c>
      <c r="D66" s="38" t="b">
        <v>0</v>
      </c>
      <c r="E66" s="38">
        <v>17</v>
      </c>
      <c r="F66" s="38" t="s">
        <v>139</v>
      </c>
      <c r="G66" s="38" t="s">
        <v>140</v>
      </c>
      <c r="H66" s="39">
        <v>45226</v>
      </c>
      <c r="I66" s="38">
        <v>22</v>
      </c>
      <c r="J66" s="38" t="s">
        <v>56</v>
      </c>
      <c r="K66" s="38" t="s">
        <v>57</v>
      </c>
      <c r="L66" s="38" t="s">
        <v>58</v>
      </c>
      <c r="M66" s="38">
        <v>0.621</v>
      </c>
      <c r="N66" s="38">
        <v>0.41499999999999998</v>
      </c>
      <c r="O66" s="38">
        <v>-13.186999999999999</v>
      </c>
      <c r="P66" s="38">
        <v>5.4300000000000001E-2</v>
      </c>
      <c r="Q66" s="38">
        <v>0.33</v>
      </c>
      <c r="R66" s="38">
        <v>1.12E-4</v>
      </c>
      <c r="S66" s="38">
        <v>6.3399999999999998E-2</v>
      </c>
      <c r="T66" s="38">
        <v>0.313</v>
      </c>
    </row>
    <row r="67" spans="1:20" x14ac:dyDescent="0.15">
      <c r="A67" s="36" t="s">
        <v>173</v>
      </c>
      <c r="B67" s="37" t="s">
        <v>174</v>
      </c>
      <c r="C67" s="38">
        <v>279833</v>
      </c>
      <c r="D67" s="38" t="b">
        <v>0</v>
      </c>
      <c r="E67" s="38">
        <v>18</v>
      </c>
      <c r="F67" s="38" t="s">
        <v>139</v>
      </c>
      <c r="G67" s="38" t="s">
        <v>140</v>
      </c>
      <c r="H67" s="39">
        <v>45226</v>
      </c>
      <c r="I67" s="38">
        <v>22</v>
      </c>
      <c r="J67" s="38" t="s">
        <v>56</v>
      </c>
      <c r="K67" s="38" t="s">
        <v>57</v>
      </c>
      <c r="L67" s="38" t="s">
        <v>58</v>
      </c>
      <c r="M67" s="38">
        <v>0.63200000000000001</v>
      </c>
      <c r="N67" s="38">
        <v>0.53900000000000003</v>
      </c>
      <c r="O67" s="38">
        <v>-8.375</v>
      </c>
      <c r="P67" s="38">
        <v>3.4200000000000001E-2</v>
      </c>
      <c r="Q67" s="38">
        <v>6.8400000000000002E-2</v>
      </c>
      <c r="R67" s="38">
        <v>5.8200000000000002E-6</v>
      </c>
      <c r="S67" s="38">
        <v>0.13200000000000001</v>
      </c>
      <c r="T67" s="38">
        <v>0.186</v>
      </c>
    </row>
    <row r="68" spans="1:20" x14ac:dyDescent="0.15">
      <c r="A68" s="36" t="s">
        <v>175</v>
      </c>
      <c r="B68" s="37" t="s">
        <v>176</v>
      </c>
      <c r="C68" s="38">
        <v>146436</v>
      </c>
      <c r="D68" s="38" t="b">
        <v>0</v>
      </c>
      <c r="E68" s="38">
        <v>19</v>
      </c>
      <c r="F68" s="38" t="s">
        <v>139</v>
      </c>
      <c r="G68" s="38" t="s">
        <v>140</v>
      </c>
      <c r="H68" s="39">
        <v>45226</v>
      </c>
      <c r="I68" s="38">
        <v>22</v>
      </c>
      <c r="J68" s="38" t="s">
        <v>56</v>
      </c>
      <c r="K68" s="38" t="s">
        <v>57</v>
      </c>
      <c r="L68" s="38" t="s">
        <v>58</v>
      </c>
      <c r="M68" s="38">
        <v>0.8</v>
      </c>
      <c r="N68" s="38">
        <v>0.50900000000000001</v>
      </c>
      <c r="O68" s="38">
        <v>-9.3859999999999992</v>
      </c>
      <c r="P68" s="38">
        <v>3.4000000000000002E-2</v>
      </c>
      <c r="Q68" s="38">
        <v>0.16</v>
      </c>
      <c r="R68" s="38">
        <v>3.0499999999999999E-5</v>
      </c>
      <c r="S68" s="38">
        <v>8.3400000000000002E-2</v>
      </c>
      <c r="T68" s="38">
        <v>7.6799999999999993E-2</v>
      </c>
    </row>
    <row r="69" spans="1:20" x14ac:dyDescent="0.15">
      <c r="A69" s="36" t="s">
        <v>177</v>
      </c>
      <c r="B69" s="37" t="s">
        <v>178</v>
      </c>
      <c r="C69" s="38">
        <v>171818</v>
      </c>
      <c r="D69" s="38" t="b">
        <v>0</v>
      </c>
      <c r="E69" s="38">
        <v>20</v>
      </c>
      <c r="F69" s="38" t="s">
        <v>139</v>
      </c>
      <c r="G69" s="38" t="s">
        <v>140</v>
      </c>
      <c r="H69" s="39">
        <v>45226</v>
      </c>
      <c r="I69" s="38">
        <v>22</v>
      </c>
      <c r="J69" s="38" t="s">
        <v>56</v>
      </c>
      <c r="K69" s="38" t="s">
        <v>57</v>
      </c>
      <c r="L69" s="38" t="s">
        <v>58</v>
      </c>
      <c r="M69" s="38">
        <v>0.69499999999999995</v>
      </c>
      <c r="N69" s="38">
        <v>0.60699999999999998</v>
      </c>
      <c r="O69" s="38">
        <v>-8.84</v>
      </c>
      <c r="P69" s="38">
        <v>3.5700000000000003E-2</v>
      </c>
      <c r="Q69" s="38">
        <v>0.21199999999999999</v>
      </c>
      <c r="R69" s="38">
        <v>0</v>
      </c>
      <c r="S69" s="38">
        <v>0.10199999999999999</v>
      </c>
      <c r="T69" s="38">
        <v>0.39400000000000002</v>
      </c>
    </row>
    <row r="70" spans="1:20" x14ac:dyDescent="0.15">
      <c r="A70" s="36" t="s">
        <v>179</v>
      </c>
      <c r="B70" s="37" t="s">
        <v>180</v>
      </c>
      <c r="C70" s="38">
        <v>229477</v>
      </c>
      <c r="D70" s="38" t="b">
        <v>0</v>
      </c>
      <c r="E70" s="38">
        <v>21</v>
      </c>
      <c r="F70" s="38" t="s">
        <v>139</v>
      </c>
      <c r="G70" s="38" t="s">
        <v>140</v>
      </c>
      <c r="H70" s="39">
        <v>45226</v>
      </c>
      <c r="I70" s="38">
        <v>22</v>
      </c>
      <c r="J70" s="38" t="s">
        <v>56</v>
      </c>
      <c r="K70" s="38" t="s">
        <v>57</v>
      </c>
      <c r="L70" s="38" t="s">
        <v>58</v>
      </c>
      <c r="M70" s="38">
        <v>0.59899999999999998</v>
      </c>
      <c r="N70" s="38">
        <v>0.65100000000000002</v>
      </c>
      <c r="O70" s="38">
        <v>-7.343</v>
      </c>
      <c r="P70" s="38">
        <v>3.5000000000000003E-2</v>
      </c>
      <c r="Q70" s="38">
        <v>4.8599999999999997E-2</v>
      </c>
      <c r="R70" s="38">
        <v>0</v>
      </c>
      <c r="S70" s="38">
        <v>0.126</v>
      </c>
      <c r="T70" s="38">
        <v>0.153</v>
      </c>
    </row>
    <row r="71" spans="1:20" x14ac:dyDescent="0.15">
      <c r="A71" s="36" t="s">
        <v>181</v>
      </c>
      <c r="B71" s="37" t="s">
        <v>182</v>
      </c>
      <c r="C71" s="38">
        <v>199773</v>
      </c>
      <c r="D71" s="38" t="b">
        <v>0</v>
      </c>
      <c r="E71" s="38">
        <v>22</v>
      </c>
      <c r="F71" s="38" t="s">
        <v>139</v>
      </c>
      <c r="G71" s="38" t="s">
        <v>140</v>
      </c>
      <c r="H71" s="39">
        <v>45226</v>
      </c>
      <c r="I71" s="38">
        <v>22</v>
      </c>
      <c r="J71" s="38" t="s">
        <v>56</v>
      </c>
      <c r="K71" s="38" t="s">
        <v>57</v>
      </c>
      <c r="L71" s="38" t="s">
        <v>58</v>
      </c>
      <c r="M71" s="38">
        <v>0.60399999999999998</v>
      </c>
      <c r="N71" s="38">
        <v>0.64400000000000002</v>
      </c>
      <c r="O71" s="38">
        <v>-6.931</v>
      </c>
      <c r="P71" s="38">
        <v>8.8900000000000007E-2</v>
      </c>
      <c r="Q71" s="38">
        <v>1.43E-2</v>
      </c>
      <c r="R71" s="38">
        <v>0</v>
      </c>
      <c r="S71" s="38">
        <v>0.23699999999999999</v>
      </c>
      <c r="T71" s="38">
        <v>0.19700000000000001</v>
      </c>
    </row>
    <row r="72" spans="1:20" x14ac:dyDescent="0.15">
      <c r="A72" s="36" t="s">
        <v>137</v>
      </c>
      <c r="B72" s="37" t="s">
        <v>183</v>
      </c>
      <c r="C72" s="38">
        <v>212600</v>
      </c>
      <c r="D72" s="38" t="b">
        <v>0</v>
      </c>
      <c r="E72" s="38">
        <v>1</v>
      </c>
      <c r="F72" s="38" t="s">
        <v>184</v>
      </c>
      <c r="G72" s="38" t="s">
        <v>185</v>
      </c>
      <c r="H72" s="39">
        <v>45225</v>
      </c>
      <c r="I72" s="38">
        <v>21</v>
      </c>
      <c r="J72" s="38" t="s">
        <v>56</v>
      </c>
      <c r="K72" s="38" t="s">
        <v>57</v>
      </c>
      <c r="L72" s="38" t="s">
        <v>58</v>
      </c>
      <c r="M72" s="38">
        <v>0.76</v>
      </c>
      <c r="N72" s="38">
        <v>0.60199999999999998</v>
      </c>
      <c r="O72" s="38">
        <v>-4.8710000000000004</v>
      </c>
      <c r="P72" s="38">
        <v>3.1600000000000003E-2</v>
      </c>
      <c r="Q72" s="38">
        <v>6.6100000000000004E-3</v>
      </c>
      <c r="R72" s="38">
        <v>1.3300000000000001E-4</v>
      </c>
      <c r="S72" s="38">
        <v>0.32500000000000001</v>
      </c>
      <c r="T72" s="38">
        <v>0.68500000000000005</v>
      </c>
    </row>
    <row r="73" spans="1:20" x14ac:dyDescent="0.15">
      <c r="A73" s="36" t="s">
        <v>141</v>
      </c>
      <c r="B73" s="37" t="s">
        <v>186</v>
      </c>
      <c r="C73" s="38">
        <v>231833</v>
      </c>
      <c r="D73" s="38" t="b">
        <v>0</v>
      </c>
      <c r="E73" s="38">
        <v>2</v>
      </c>
      <c r="F73" s="38" t="s">
        <v>184</v>
      </c>
      <c r="G73" s="38" t="s">
        <v>185</v>
      </c>
      <c r="H73" s="39">
        <v>45225</v>
      </c>
      <c r="I73" s="38">
        <v>21</v>
      </c>
      <c r="J73" s="38" t="s">
        <v>56</v>
      </c>
      <c r="K73" s="38" t="s">
        <v>57</v>
      </c>
      <c r="L73" s="38" t="s">
        <v>58</v>
      </c>
      <c r="M73" s="38">
        <v>0.73199999999999998</v>
      </c>
      <c r="N73" s="38">
        <v>0.71899999999999997</v>
      </c>
      <c r="O73" s="38">
        <v>-5.4690000000000003</v>
      </c>
      <c r="P73" s="38">
        <v>6.4500000000000002E-2</v>
      </c>
      <c r="Q73" s="38">
        <v>9.01E-2</v>
      </c>
      <c r="R73" s="38">
        <v>0</v>
      </c>
      <c r="S73" s="38">
        <v>0.33100000000000002</v>
      </c>
      <c r="T73" s="38">
        <v>0.71</v>
      </c>
    </row>
    <row r="74" spans="1:20" x14ac:dyDescent="0.15">
      <c r="A74" s="36" t="s">
        <v>143</v>
      </c>
      <c r="B74" s="37" t="s">
        <v>187</v>
      </c>
      <c r="C74" s="38">
        <v>231000</v>
      </c>
      <c r="D74" s="38" t="b">
        <v>0</v>
      </c>
      <c r="E74" s="38">
        <v>3</v>
      </c>
      <c r="F74" s="38" t="s">
        <v>184</v>
      </c>
      <c r="G74" s="38" t="s">
        <v>185</v>
      </c>
      <c r="H74" s="39">
        <v>45225</v>
      </c>
      <c r="I74" s="38">
        <v>21</v>
      </c>
      <c r="J74" s="38" t="s">
        <v>56</v>
      </c>
      <c r="K74" s="38" t="s">
        <v>57</v>
      </c>
      <c r="L74" s="38" t="s">
        <v>58</v>
      </c>
      <c r="M74" s="38">
        <v>0.51400000000000001</v>
      </c>
      <c r="N74" s="38">
        <v>0.82099999999999995</v>
      </c>
      <c r="O74" s="38">
        <v>-4.8029999999999999</v>
      </c>
      <c r="P74" s="38">
        <v>4.4400000000000002E-2</v>
      </c>
      <c r="Q74" s="38">
        <v>4.5600000000000003E-4</v>
      </c>
      <c r="R74" s="38">
        <v>2.3199999999999998E-2</v>
      </c>
      <c r="S74" s="38">
        <v>9.4600000000000004E-2</v>
      </c>
      <c r="T74" s="38">
        <v>0.29799999999999999</v>
      </c>
    </row>
    <row r="75" spans="1:20" x14ac:dyDescent="0.15">
      <c r="A75" s="36" t="s">
        <v>145</v>
      </c>
      <c r="B75" s="37" t="s">
        <v>188</v>
      </c>
      <c r="C75" s="38">
        <v>235800</v>
      </c>
      <c r="D75" s="38" t="b">
        <v>0</v>
      </c>
      <c r="E75" s="38">
        <v>4</v>
      </c>
      <c r="F75" s="38" t="s">
        <v>184</v>
      </c>
      <c r="G75" s="38" t="s">
        <v>185</v>
      </c>
      <c r="H75" s="39">
        <v>45225</v>
      </c>
      <c r="I75" s="38">
        <v>21</v>
      </c>
      <c r="J75" s="38" t="s">
        <v>56</v>
      </c>
      <c r="K75" s="38" t="s">
        <v>57</v>
      </c>
      <c r="L75" s="38" t="s">
        <v>58</v>
      </c>
      <c r="M75" s="38">
        <v>0.54400000000000004</v>
      </c>
      <c r="N75" s="38">
        <v>0.88400000000000001</v>
      </c>
      <c r="O75" s="38">
        <v>-5.9729999999999999</v>
      </c>
      <c r="P75" s="38">
        <v>3.8300000000000001E-2</v>
      </c>
      <c r="Q75" s="38">
        <v>4.66E-4</v>
      </c>
      <c r="R75" s="38">
        <v>1.34E-4</v>
      </c>
      <c r="S75" s="38">
        <v>0.38100000000000001</v>
      </c>
      <c r="T75" s="38">
        <v>0.184</v>
      </c>
    </row>
    <row r="76" spans="1:20" x14ac:dyDescent="0.15">
      <c r="A76" s="36" t="s">
        <v>147</v>
      </c>
      <c r="B76" s="37" t="s">
        <v>189</v>
      </c>
      <c r="C76" s="38">
        <v>193289</v>
      </c>
      <c r="D76" s="38" t="b">
        <v>0</v>
      </c>
      <c r="E76" s="38">
        <v>5</v>
      </c>
      <c r="F76" s="38" t="s">
        <v>184</v>
      </c>
      <c r="G76" s="38" t="s">
        <v>185</v>
      </c>
      <c r="H76" s="39">
        <v>45225</v>
      </c>
      <c r="I76" s="38">
        <v>21</v>
      </c>
      <c r="J76" s="38" t="s">
        <v>56</v>
      </c>
      <c r="K76" s="38" t="s">
        <v>57</v>
      </c>
      <c r="L76" s="38" t="s">
        <v>58</v>
      </c>
      <c r="M76" s="38">
        <v>0.58899999999999997</v>
      </c>
      <c r="N76" s="38">
        <v>0.71299999999999997</v>
      </c>
      <c r="O76" s="38">
        <v>-5.6139999999999999</v>
      </c>
      <c r="P76" s="38">
        <v>3.0800000000000001E-2</v>
      </c>
      <c r="Q76" s="38">
        <v>7.7800000000000005E-4</v>
      </c>
      <c r="R76" s="38">
        <v>0</v>
      </c>
      <c r="S76" s="38">
        <v>0.188</v>
      </c>
      <c r="T76" s="38">
        <v>0.54</v>
      </c>
    </row>
    <row r="77" spans="1:20" x14ac:dyDescent="0.15">
      <c r="A77" s="36" t="s">
        <v>149</v>
      </c>
      <c r="B77" s="37" t="s">
        <v>190</v>
      </c>
      <c r="C77" s="38">
        <v>219209</v>
      </c>
      <c r="D77" s="38" t="b">
        <v>0</v>
      </c>
      <c r="E77" s="38">
        <v>6</v>
      </c>
      <c r="F77" s="38" t="s">
        <v>184</v>
      </c>
      <c r="G77" s="38" t="s">
        <v>185</v>
      </c>
      <c r="H77" s="39">
        <v>45225</v>
      </c>
      <c r="I77" s="38">
        <v>21</v>
      </c>
      <c r="J77" s="38" t="s">
        <v>56</v>
      </c>
      <c r="K77" s="38" t="s">
        <v>57</v>
      </c>
      <c r="L77" s="38" t="s">
        <v>58</v>
      </c>
      <c r="M77" s="38">
        <v>0.63200000000000001</v>
      </c>
      <c r="N77" s="38">
        <v>0.80500000000000005</v>
      </c>
      <c r="O77" s="38">
        <v>-5.7069999999999999</v>
      </c>
      <c r="P77" s="38">
        <v>6.9000000000000006E-2</v>
      </c>
      <c r="Q77" s="38">
        <v>1.12E-2</v>
      </c>
      <c r="R77" s="38">
        <v>2.51E-5</v>
      </c>
      <c r="S77" s="38">
        <v>0.156</v>
      </c>
      <c r="T77" s="38">
        <v>0.90300000000000002</v>
      </c>
    </row>
    <row r="78" spans="1:20" x14ac:dyDescent="0.15">
      <c r="A78" s="36" t="s">
        <v>151</v>
      </c>
      <c r="B78" s="37" t="s">
        <v>191</v>
      </c>
      <c r="C78" s="38">
        <v>207650</v>
      </c>
      <c r="D78" s="38" t="b">
        <v>0</v>
      </c>
      <c r="E78" s="38">
        <v>7</v>
      </c>
      <c r="F78" s="38" t="s">
        <v>184</v>
      </c>
      <c r="G78" s="38" t="s">
        <v>185</v>
      </c>
      <c r="H78" s="39">
        <v>45225</v>
      </c>
      <c r="I78" s="38">
        <v>21</v>
      </c>
      <c r="J78" s="38" t="s">
        <v>56</v>
      </c>
      <c r="K78" s="38" t="s">
        <v>57</v>
      </c>
      <c r="L78" s="38" t="s">
        <v>58</v>
      </c>
      <c r="M78" s="38">
        <v>0.67100000000000004</v>
      </c>
      <c r="N78" s="38">
        <v>0.85299999999999998</v>
      </c>
      <c r="O78" s="38">
        <v>-6.5679999999999996</v>
      </c>
      <c r="P78" s="38">
        <v>4.1700000000000001E-2</v>
      </c>
      <c r="Q78" s="38">
        <v>3.8800000000000002E-3</v>
      </c>
      <c r="R78" s="38">
        <v>9.4800000000000007E-6</v>
      </c>
      <c r="S78" s="38">
        <v>8.1199999999999994E-2</v>
      </c>
      <c r="T78" s="38">
        <v>0.52300000000000002</v>
      </c>
    </row>
    <row r="79" spans="1:20" x14ac:dyDescent="0.15">
      <c r="A79" s="36" t="s">
        <v>153</v>
      </c>
      <c r="B79" s="37" t="s">
        <v>192</v>
      </c>
      <c r="C79" s="38">
        <v>211103</v>
      </c>
      <c r="D79" s="38" t="b">
        <v>0</v>
      </c>
      <c r="E79" s="38">
        <v>8</v>
      </c>
      <c r="F79" s="38" t="s">
        <v>184</v>
      </c>
      <c r="G79" s="38" t="s">
        <v>185</v>
      </c>
      <c r="H79" s="39">
        <v>45225</v>
      </c>
      <c r="I79" s="38">
        <v>21</v>
      </c>
      <c r="J79" s="38" t="s">
        <v>56</v>
      </c>
      <c r="K79" s="38" t="s">
        <v>57</v>
      </c>
      <c r="L79" s="38" t="s">
        <v>58</v>
      </c>
      <c r="M79" s="38">
        <v>0.624</v>
      </c>
      <c r="N79" s="38">
        <v>0.71099999999999997</v>
      </c>
      <c r="O79" s="38">
        <v>-6.3470000000000004</v>
      </c>
      <c r="P79" s="38">
        <v>0.159</v>
      </c>
      <c r="Q79" s="38">
        <v>3.6900000000000002E-2</v>
      </c>
      <c r="R79" s="38">
        <v>3.1300000000000001E-6</v>
      </c>
      <c r="S79" s="38">
        <v>0.19</v>
      </c>
      <c r="T79" s="38">
        <v>0.34699999999999998</v>
      </c>
    </row>
    <row r="80" spans="1:20" x14ac:dyDescent="0.15">
      <c r="A80" s="36" t="s">
        <v>155</v>
      </c>
      <c r="B80" s="37" t="s">
        <v>193</v>
      </c>
      <c r="C80" s="38">
        <v>220433</v>
      </c>
      <c r="D80" s="38" t="b">
        <v>0</v>
      </c>
      <c r="E80" s="38">
        <v>9</v>
      </c>
      <c r="F80" s="38" t="s">
        <v>184</v>
      </c>
      <c r="G80" s="38" t="s">
        <v>185</v>
      </c>
      <c r="H80" s="39">
        <v>45225</v>
      </c>
      <c r="I80" s="38">
        <v>21</v>
      </c>
      <c r="J80" s="38" t="s">
        <v>56</v>
      </c>
      <c r="K80" s="38" t="s">
        <v>57</v>
      </c>
      <c r="L80" s="38" t="s">
        <v>58</v>
      </c>
      <c r="M80" s="38">
        <v>0.58699999999999997</v>
      </c>
      <c r="N80" s="38">
        <v>0.66300000000000003</v>
      </c>
      <c r="O80" s="38">
        <v>-7.4390000000000001</v>
      </c>
      <c r="P80" s="38">
        <v>5.9799999999999999E-2</v>
      </c>
      <c r="Q80" s="38">
        <v>3.4799999999999998E-2</v>
      </c>
      <c r="R80" s="38">
        <v>9.9500000000000006E-5</v>
      </c>
      <c r="S80" s="38">
        <v>9.7100000000000006E-2</v>
      </c>
      <c r="T80" s="38">
        <v>0.53900000000000003</v>
      </c>
    </row>
    <row r="81" spans="1:20" x14ac:dyDescent="0.15">
      <c r="A81" s="36" t="s">
        <v>157</v>
      </c>
      <c r="B81" s="37" t="s">
        <v>194</v>
      </c>
      <c r="C81" s="38">
        <v>247533</v>
      </c>
      <c r="D81" s="38" t="b">
        <v>0</v>
      </c>
      <c r="E81" s="38">
        <v>10</v>
      </c>
      <c r="F81" s="38" t="s">
        <v>184</v>
      </c>
      <c r="G81" s="38" t="s">
        <v>185</v>
      </c>
      <c r="H81" s="39">
        <v>45225</v>
      </c>
      <c r="I81" s="38">
        <v>21</v>
      </c>
      <c r="J81" s="38" t="s">
        <v>56</v>
      </c>
      <c r="K81" s="38" t="s">
        <v>57</v>
      </c>
      <c r="L81" s="38" t="s">
        <v>58</v>
      </c>
      <c r="M81" s="38">
        <v>0.76100000000000001</v>
      </c>
      <c r="N81" s="38">
        <v>0.67</v>
      </c>
      <c r="O81" s="38">
        <v>-5.9560000000000004</v>
      </c>
      <c r="P81" s="38">
        <v>5.3699999999999998E-2</v>
      </c>
      <c r="Q81" s="38">
        <v>1.98E-3</v>
      </c>
      <c r="R81" s="38">
        <v>1.08E-5</v>
      </c>
      <c r="S81" s="38">
        <v>8.7300000000000003E-2</v>
      </c>
      <c r="T81" s="38">
        <v>0.51900000000000002</v>
      </c>
    </row>
    <row r="82" spans="1:20" x14ac:dyDescent="0.15">
      <c r="A82" s="36" t="s">
        <v>159</v>
      </c>
      <c r="B82" s="37" t="s">
        <v>195</v>
      </c>
      <c r="C82" s="38">
        <v>250100</v>
      </c>
      <c r="D82" s="38" t="b">
        <v>0</v>
      </c>
      <c r="E82" s="38">
        <v>11</v>
      </c>
      <c r="F82" s="38" t="s">
        <v>184</v>
      </c>
      <c r="G82" s="38" t="s">
        <v>185</v>
      </c>
      <c r="H82" s="39">
        <v>45225</v>
      </c>
      <c r="I82" s="38">
        <v>21</v>
      </c>
      <c r="J82" s="38" t="s">
        <v>56</v>
      </c>
      <c r="K82" s="38" t="s">
        <v>57</v>
      </c>
      <c r="L82" s="38" t="s">
        <v>58</v>
      </c>
      <c r="M82" s="38">
        <v>0.47</v>
      </c>
      <c r="N82" s="38">
        <v>0.49399999999999999</v>
      </c>
      <c r="O82" s="38">
        <v>-8.6720000000000006</v>
      </c>
      <c r="P82" s="38">
        <v>3.49E-2</v>
      </c>
      <c r="Q82" s="38">
        <v>0.30199999999999999</v>
      </c>
      <c r="R82" s="38">
        <v>0</v>
      </c>
      <c r="S82" s="38">
        <v>6.7199999999999996E-2</v>
      </c>
      <c r="T82" s="38">
        <v>5.2400000000000002E-2</v>
      </c>
    </row>
    <row r="83" spans="1:20" x14ac:dyDescent="0.15">
      <c r="A83" s="36" t="s">
        <v>161</v>
      </c>
      <c r="B83" s="37" t="s">
        <v>196</v>
      </c>
      <c r="C83" s="38">
        <v>195700</v>
      </c>
      <c r="D83" s="38" t="b">
        <v>0</v>
      </c>
      <c r="E83" s="38">
        <v>12</v>
      </c>
      <c r="F83" s="38" t="s">
        <v>184</v>
      </c>
      <c r="G83" s="38" t="s">
        <v>185</v>
      </c>
      <c r="H83" s="39">
        <v>45225</v>
      </c>
      <c r="I83" s="38">
        <v>21</v>
      </c>
      <c r="J83" s="38" t="s">
        <v>56</v>
      </c>
      <c r="K83" s="38" t="s">
        <v>57</v>
      </c>
      <c r="L83" s="38" t="s">
        <v>58</v>
      </c>
      <c r="M83" s="38">
        <v>0.57199999999999995</v>
      </c>
      <c r="N83" s="38">
        <v>0.80700000000000005</v>
      </c>
      <c r="O83" s="38">
        <v>-5.3479999999999999</v>
      </c>
      <c r="P83" s="38">
        <v>5.74E-2</v>
      </c>
      <c r="Q83" s="38">
        <v>8.4599999999999995E-2</v>
      </c>
      <c r="R83" s="38">
        <v>0</v>
      </c>
      <c r="S83" s="38">
        <v>7.0999999999999994E-2</v>
      </c>
      <c r="T83" s="38">
        <v>0.626</v>
      </c>
    </row>
    <row r="84" spans="1:20" x14ac:dyDescent="0.15">
      <c r="A84" s="36" t="s">
        <v>163</v>
      </c>
      <c r="B84" s="37" t="s">
        <v>197</v>
      </c>
      <c r="C84" s="38">
        <v>271000</v>
      </c>
      <c r="D84" s="38" t="b">
        <v>0</v>
      </c>
      <c r="E84" s="38">
        <v>13</v>
      </c>
      <c r="F84" s="38" t="s">
        <v>184</v>
      </c>
      <c r="G84" s="38" t="s">
        <v>185</v>
      </c>
      <c r="H84" s="39">
        <v>45225</v>
      </c>
      <c r="I84" s="38">
        <v>21</v>
      </c>
      <c r="J84" s="38" t="s">
        <v>56</v>
      </c>
      <c r="K84" s="38" t="s">
        <v>57</v>
      </c>
      <c r="L84" s="38" t="s">
        <v>58</v>
      </c>
      <c r="M84" s="38">
        <v>0.78200000000000003</v>
      </c>
      <c r="N84" s="38">
        <v>0.379</v>
      </c>
      <c r="O84" s="38">
        <v>-8.9640000000000004</v>
      </c>
      <c r="P84" s="38">
        <v>3.0300000000000001E-2</v>
      </c>
      <c r="Q84" s="38">
        <v>0.29699999999999999</v>
      </c>
      <c r="R84" s="38">
        <v>2.9799999999999999E-5</v>
      </c>
      <c r="S84" s="38">
        <v>0.10299999999999999</v>
      </c>
      <c r="T84" s="38">
        <v>0.26700000000000002</v>
      </c>
    </row>
    <row r="85" spans="1:20" x14ac:dyDescent="0.15">
      <c r="A85" s="36" t="s">
        <v>165</v>
      </c>
      <c r="B85" s="37" t="s">
        <v>198</v>
      </c>
      <c r="C85" s="38">
        <v>245566</v>
      </c>
      <c r="D85" s="38" t="b">
        <v>0</v>
      </c>
      <c r="E85" s="38">
        <v>14</v>
      </c>
      <c r="F85" s="38" t="s">
        <v>184</v>
      </c>
      <c r="G85" s="38" t="s">
        <v>185</v>
      </c>
      <c r="H85" s="39">
        <v>45225</v>
      </c>
      <c r="I85" s="38">
        <v>21</v>
      </c>
      <c r="J85" s="38" t="s">
        <v>56</v>
      </c>
      <c r="K85" s="38" t="s">
        <v>57</v>
      </c>
      <c r="L85" s="38" t="s">
        <v>58</v>
      </c>
      <c r="M85" s="38">
        <v>0.38700000000000001</v>
      </c>
      <c r="N85" s="38">
        <v>0.70299999999999996</v>
      </c>
      <c r="O85" s="38">
        <v>-5.9560000000000004</v>
      </c>
      <c r="P85" s="38">
        <v>5.45E-2</v>
      </c>
      <c r="Q85" s="38">
        <v>1.0500000000000001E-2</v>
      </c>
      <c r="R85" s="38">
        <v>1.1E-5</v>
      </c>
      <c r="S85" s="38">
        <v>0.128</v>
      </c>
      <c r="T85" s="38">
        <v>0.32</v>
      </c>
    </row>
    <row r="86" spans="1:20" x14ac:dyDescent="0.15">
      <c r="A86" s="36" t="s">
        <v>167</v>
      </c>
      <c r="B86" s="37" t="s">
        <v>199</v>
      </c>
      <c r="C86" s="38">
        <v>267389</v>
      </c>
      <c r="D86" s="38" t="b">
        <v>0</v>
      </c>
      <c r="E86" s="38">
        <v>15</v>
      </c>
      <c r="F86" s="38" t="s">
        <v>184</v>
      </c>
      <c r="G86" s="38" t="s">
        <v>185</v>
      </c>
      <c r="H86" s="39">
        <v>45225</v>
      </c>
      <c r="I86" s="38">
        <v>21</v>
      </c>
      <c r="J86" s="38" t="s">
        <v>56</v>
      </c>
      <c r="K86" s="38" t="s">
        <v>57</v>
      </c>
      <c r="L86" s="38" t="s">
        <v>58</v>
      </c>
      <c r="M86" s="38">
        <v>0.55400000000000005</v>
      </c>
      <c r="N86" s="38">
        <v>0.50900000000000001</v>
      </c>
      <c r="O86" s="38">
        <v>-9.4030000000000005</v>
      </c>
      <c r="P86" s="38">
        <v>4.5499999999999999E-2</v>
      </c>
      <c r="Q86" s="38">
        <v>0.57199999999999995</v>
      </c>
      <c r="R86" s="38">
        <v>2.08E-6</v>
      </c>
      <c r="S86" s="38">
        <v>0.113</v>
      </c>
      <c r="T86" s="38">
        <v>0.40100000000000002</v>
      </c>
    </row>
    <row r="87" spans="1:20" x14ac:dyDescent="0.15">
      <c r="A87" s="36" t="s">
        <v>169</v>
      </c>
      <c r="B87" s="37" t="s">
        <v>200</v>
      </c>
      <c r="C87" s="38">
        <v>230177</v>
      </c>
      <c r="D87" s="38" t="b">
        <v>0</v>
      </c>
      <c r="E87" s="38">
        <v>16</v>
      </c>
      <c r="F87" s="38" t="s">
        <v>184</v>
      </c>
      <c r="G87" s="38" t="s">
        <v>185</v>
      </c>
      <c r="H87" s="39">
        <v>45225</v>
      </c>
      <c r="I87" s="38">
        <v>21</v>
      </c>
      <c r="J87" s="38" t="s">
        <v>56</v>
      </c>
      <c r="K87" s="38" t="s">
        <v>57</v>
      </c>
      <c r="L87" s="38" t="s">
        <v>58</v>
      </c>
      <c r="M87" s="38">
        <v>0.65300000000000002</v>
      </c>
      <c r="N87" s="38">
        <v>0.84799999999999998</v>
      </c>
      <c r="O87" s="38">
        <v>-5.9359999999999999</v>
      </c>
      <c r="P87" s="38">
        <v>5.8299999999999998E-2</v>
      </c>
      <c r="Q87" s="38">
        <v>5.1599999999999997E-3</v>
      </c>
      <c r="R87" s="38">
        <v>4.2400000000000001E-6</v>
      </c>
      <c r="S87" s="38">
        <v>7.9799999999999996E-2</v>
      </c>
      <c r="T87" s="38">
        <v>0.72399999999999998</v>
      </c>
    </row>
    <row r="88" spans="1:20" x14ac:dyDescent="0.15">
      <c r="A88" s="36" t="s">
        <v>171</v>
      </c>
      <c r="B88" s="37" t="s">
        <v>201</v>
      </c>
      <c r="C88" s="38">
        <v>180381</v>
      </c>
      <c r="D88" s="38" t="b">
        <v>0</v>
      </c>
      <c r="E88" s="38">
        <v>17</v>
      </c>
      <c r="F88" s="38" t="s">
        <v>184</v>
      </c>
      <c r="G88" s="38" t="s">
        <v>185</v>
      </c>
      <c r="H88" s="39">
        <v>45225</v>
      </c>
      <c r="I88" s="38">
        <v>21</v>
      </c>
      <c r="J88" s="38" t="s">
        <v>56</v>
      </c>
      <c r="K88" s="38" t="s">
        <v>57</v>
      </c>
      <c r="L88" s="38" t="s">
        <v>58</v>
      </c>
      <c r="M88" s="38">
        <v>0.621</v>
      </c>
      <c r="N88" s="38">
        <v>0.41499999999999998</v>
      </c>
      <c r="O88" s="38">
        <v>-13.186999999999999</v>
      </c>
      <c r="P88" s="38">
        <v>5.4300000000000001E-2</v>
      </c>
      <c r="Q88" s="38">
        <v>0.33</v>
      </c>
      <c r="R88" s="38">
        <v>1.12E-4</v>
      </c>
      <c r="S88" s="38">
        <v>6.3399999999999998E-2</v>
      </c>
      <c r="T88" s="38">
        <v>0.313</v>
      </c>
    </row>
    <row r="89" spans="1:20" x14ac:dyDescent="0.15">
      <c r="A89" s="36" t="s">
        <v>173</v>
      </c>
      <c r="B89" s="37" t="s">
        <v>202</v>
      </c>
      <c r="C89" s="38">
        <v>279833</v>
      </c>
      <c r="D89" s="38" t="b">
        <v>0</v>
      </c>
      <c r="E89" s="38">
        <v>18</v>
      </c>
      <c r="F89" s="38" t="s">
        <v>184</v>
      </c>
      <c r="G89" s="38" t="s">
        <v>185</v>
      </c>
      <c r="H89" s="39">
        <v>45225</v>
      </c>
      <c r="I89" s="38">
        <v>21</v>
      </c>
      <c r="J89" s="38" t="s">
        <v>56</v>
      </c>
      <c r="K89" s="38" t="s">
        <v>57</v>
      </c>
      <c r="L89" s="38" t="s">
        <v>58</v>
      </c>
      <c r="M89" s="38">
        <v>0.63200000000000001</v>
      </c>
      <c r="N89" s="38">
        <v>0.53900000000000003</v>
      </c>
      <c r="O89" s="38">
        <v>-8.375</v>
      </c>
      <c r="P89" s="38">
        <v>3.4200000000000001E-2</v>
      </c>
      <c r="Q89" s="38">
        <v>6.8400000000000002E-2</v>
      </c>
      <c r="R89" s="38">
        <v>5.8200000000000002E-6</v>
      </c>
      <c r="S89" s="38">
        <v>0.13200000000000001</v>
      </c>
      <c r="T89" s="38">
        <v>0.186</v>
      </c>
    </row>
    <row r="90" spans="1:20" x14ac:dyDescent="0.15">
      <c r="A90" s="36" t="s">
        <v>175</v>
      </c>
      <c r="B90" s="37" t="s">
        <v>203</v>
      </c>
      <c r="C90" s="38">
        <v>146436</v>
      </c>
      <c r="D90" s="38" t="b">
        <v>0</v>
      </c>
      <c r="E90" s="38">
        <v>19</v>
      </c>
      <c r="F90" s="38" t="s">
        <v>184</v>
      </c>
      <c r="G90" s="38" t="s">
        <v>185</v>
      </c>
      <c r="H90" s="39">
        <v>45225</v>
      </c>
      <c r="I90" s="38">
        <v>21</v>
      </c>
      <c r="J90" s="38" t="s">
        <v>56</v>
      </c>
      <c r="K90" s="38" t="s">
        <v>57</v>
      </c>
      <c r="L90" s="38" t="s">
        <v>58</v>
      </c>
      <c r="M90" s="38">
        <v>0.8</v>
      </c>
      <c r="N90" s="38">
        <v>0.50900000000000001</v>
      </c>
      <c r="O90" s="38">
        <v>-9.3859999999999992</v>
      </c>
      <c r="P90" s="38">
        <v>3.4000000000000002E-2</v>
      </c>
      <c r="Q90" s="38">
        <v>0.16</v>
      </c>
      <c r="R90" s="38">
        <v>3.0499999999999999E-5</v>
      </c>
      <c r="S90" s="38">
        <v>8.3400000000000002E-2</v>
      </c>
      <c r="T90" s="38">
        <v>7.6799999999999993E-2</v>
      </c>
    </row>
    <row r="91" spans="1:20" x14ac:dyDescent="0.15">
      <c r="A91" s="36" t="s">
        <v>177</v>
      </c>
      <c r="B91" s="37" t="s">
        <v>204</v>
      </c>
      <c r="C91" s="38">
        <v>171818</v>
      </c>
      <c r="D91" s="38" t="b">
        <v>0</v>
      </c>
      <c r="E91" s="38">
        <v>20</v>
      </c>
      <c r="F91" s="38" t="s">
        <v>184</v>
      </c>
      <c r="G91" s="38" t="s">
        <v>185</v>
      </c>
      <c r="H91" s="39">
        <v>45225</v>
      </c>
      <c r="I91" s="38">
        <v>21</v>
      </c>
      <c r="J91" s="38" t="s">
        <v>56</v>
      </c>
      <c r="K91" s="38" t="s">
        <v>57</v>
      </c>
      <c r="L91" s="38" t="s">
        <v>58</v>
      </c>
      <c r="M91" s="38">
        <v>0.69499999999999995</v>
      </c>
      <c r="N91" s="38">
        <v>0.60699999999999998</v>
      </c>
      <c r="O91" s="38">
        <v>-8.84</v>
      </c>
      <c r="P91" s="38">
        <v>3.5700000000000003E-2</v>
      </c>
      <c r="Q91" s="38">
        <v>0.21199999999999999</v>
      </c>
      <c r="R91" s="38">
        <v>0</v>
      </c>
      <c r="S91" s="38">
        <v>0.10199999999999999</v>
      </c>
      <c r="T91" s="38">
        <v>0.39400000000000002</v>
      </c>
    </row>
    <row r="92" spans="1:20" x14ac:dyDescent="0.15">
      <c r="A92" s="36" t="s">
        <v>179</v>
      </c>
      <c r="B92" s="37" t="s">
        <v>205</v>
      </c>
      <c r="C92" s="38">
        <v>229477</v>
      </c>
      <c r="D92" s="38" t="b">
        <v>0</v>
      </c>
      <c r="E92" s="38">
        <v>21</v>
      </c>
      <c r="F92" s="38" t="s">
        <v>184</v>
      </c>
      <c r="G92" s="38" t="s">
        <v>185</v>
      </c>
      <c r="H92" s="39">
        <v>45225</v>
      </c>
      <c r="I92" s="38">
        <v>21</v>
      </c>
      <c r="J92" s="38" t="s">
        <v>56</v>
      </c>
      <c r="K92" s="38" t="s">
        <v>57</v>
      </c>
      <c r="L92" s="38" t="s">
        <v>58</v>
      </c>
      <c r="M92" s="38">
        <v>0.59899999999999998</v>
      </c>
      <c r="N92" s="38">
        <v>0.65100000000000002</v>
      </c>
      <c r="O92" s="38">
        <v>-7.343</v>
      </c>
      <c r="P92" s="38">
        <v>3.5000000000000003E-2</v>
      </c>
      <c r="Q92" s="38">
        <v>4.8599999999999997E-2</v>
      </c>
      <c r="R92" s="38">
        <v>0</v>
      </c>
      <c r="S92" s="38">
        <v>0.126</v>
      </c>
      <c r="T92" s="38">
        <v>0.153</v>
      </c>
    </row>
    <row r="93" spans="1:20" x14ac:dyDescent="0.15">
      <c r="A93" s="36" t="s">
        <v>206</v>
      </c>
      <c r="B93" s="37" t="s">
        <v>207</v>
      </c>
      <c r="C93" s="38">
        <v>231706</v>
      </c>
      <c r="D93" s="38" t="b">
        <v>0</v>
      </c>
      <c r="E93" s="38">
        <v>1</v>
      </c>
      <c r="F93" s="38" t="s">
        <v>208</v>
      </c>
      <c r="G93" s="38" t="s">
        <v>209</v>
      </c>
      <c r="H93" s="39">
        <v>45114</v>
      </c>
      <c r="I93" s="38">
        <v>22</v>
      </c>
      <c r="J93" s="38" t="s">
        <v>56</v>
      </c>
      <c r="K93" s="38" t="s">
        <v>57</v>
      </c>
      <c r="L93" s="38" t="s">
        <v>58</v>
      </c>
      <c r="M93" s="38">
        <v>0.64700000000000002</v>
      </c>
      <c r="N93" s="38">
        <v>0.79300000000000004</v>
      </c>
      <c r="O93" s="38">
        <v>-2.903</v>
      </c>
      <c r="P93" s="38">
        <v>3.6299999999999999E-2</v>
      </c>
      <c r="Q93" s="38">
        <v>3.14E-3</v>
      </c>
      <c r="R93" s="38">
        <v>1.9300000000000002E-6</v>
      </c>
      <c r="S93" s="38">
        <v>0.17399999999999999</v>
      </c>
      <c r="T93" s="38">
        <v>0.5</v>
      </c>
    </row>
    <row r="94" spans="1:20" x14ac:dyDescent="0.15">
      <c r="A94" s="36" t="s">
        <v>210</v>
      </c>
      <c r="B94" s="37" t="s">
        <v>211</v>
      </c>
      <c r="C94" s="38">
        <v>261230</v>
      </c>
      <c r="D94" s="38" t="b">
        <v>0</v>
      </c>
      <c r="E94" s="38">
        <v>2</v>
      </c>
      <c r="F94" s="38" t="s">
        <v>208</v>
      </c>
      <c r="G94" s="38" t="s">
        <v>209</v>
      </c>
      <c r="H94" s="39">
        <v>45114</v>
      </c>
      <c r="I94" s="38">
        <v>22</v>
      </c>
      <c r="J94" s="38" t="s">
        <v>56</v>
      </c>
      <c r="K94" s="38" t="s">
        <v>57</v>
      </c>
      <c r="L94" s="38" t="s">
        <v>58</v>
      </c>
      <c r="M94" s="38">
        <v>0.60499999999999998</v>
      </c>
      <c r="N94" s="38">
        <v>0.76900000000000002</v>
      </c>
      <c r="O94" s="38">
        <v>-2.4129999999999998</v>
      </c>
      <c r="P94" s="38">
        <v>3.2000000000000001E-2</v>
      </c>
      <c r="Q94" s="38">
        <v>2.41E-2</v>
      </c>
      <c r="R94" s="38">
        <v>0</v>
      </c>
      <c r="S94" s="38">
        <v>9.3600000000000003E-2</v>
      </c>
      <c r="T94" s="38">
        <v>0.36599999999999999</v>
      </c>
    </row>
    <row r="95" spans="1:20" x14ac:dyDescent="0.15">
      <c r="A95" s="36" t="s">
        <v>212</v>
      </c>
      <c r="B95" s="37" t="s">
        <v>213</v>
      </c>
      <c r="C95" s="38">
        <v>294189</v>
      </c>
      <c r="D95" s="38" t="b">
        <v>0</v>
      </c>
      <c r="E95" s="38">
        <v>3</v>
      </c>
      <c r="F95" s="38" t="s">
        <v>208</v>
      </c>
      <c r="G95" s="38" t="s">
        <v>209</v>
      </c>
      <c r="H95" s="39">
        <v>45114</v>
      </c>
      <c r="I95" s="38">
        <v>22</v>
      </c>
      <c r="J95" s="38" t="s">
        <v>56</v>
      </c>
      <c r="K95" s="38" t="s">
        <v>57</v>
      </c>
      <c r="L95" s="38" t="s">
        <v>58</v>
      </c>
      <c r="M95" s="38">
        <v>0.48599999999999999</v>
      </c>
      <c r="N95" s="38">
        <v>0.63500000000000001</v>
      </c>
      <c r="O95" s="38">
        <v>-3.9940000000000002</v>
      </c>
      <c r="P95" s="38">
        <v>2.7799999999999998E-2</v>
      </c>
      <c r="Q95" s="38">
        <v>7.0499999999999998E-3</v>
      </c>
      <c r="R95" s="38">
        <v>0</v>
      </c>
      <c r="S95" s="38">
        <v>0.11899999999999999</v>
      </c>
      <c r="T95" s="38">
        <v>0.23499999999999999</v>
      </c>
    </row>
    <row r="96" spans="1:20" x14ac:dyDescent="0.15">
      <c r="A96" s="36" t="s">
        <v>209</v>
      </c>
      <c r="B96" s="37" t="s">
        <v>214</v>
      </c>
      <c r="C96" s="38">
        <v>242473</v>
      </c>
      <c r="D96" s="38" t="b">
        <v>0</v>
      </c>
      <c r="E96" s="38">
        <v>4</v>
      </c>
      <c r="F96" s="38" t="s">
        <v>208</v>
      </c>
      <c r="G96" s="38" t="s">
        <v>209</v>
      </c>
      <c r="H96" s="39">
        <v>45114</v>
      </c>
      <c r="I96" s="38">
        <v>22</v>
      </c>
      <c r="J96" s="38" t="s">
        <v>56</v>
      </c>
      <c r="K96" s="38" t="s">
        <v>57</v>
      </c>
      <c r="L96" s="38" t="s">
        <v>58</v>
      </c>
      <c r="M96" s="38">
        <v>0.73399999999999999</v>
      </c>
      <c r="N96" s="38">
        <v>0.68600000000000005</v>
      </c>
      <c r="O96" s="38">
        <v>-2.9260000000000002</v>
      </c>
      <c r="P96" s="38">
        <v>3.49E-2</v>
      </c>
      <c r="Q96" s="38">
        <v>0.22500000000000001</v>
      </c>
      <c r="R96" s="38">
        <v>0</v>
      </c>
      <c r="S96" s="38">
        <v>0.13600000000000001</v>
      </c>
      <c r="T96" s="38">
        <v>0.59799999999999998</v>
      </c>
    </row>
    <row r="97" spans="1:20" x14ac:dyDescent="0.15">
      <c r="A97" s="36" t="s">
        <v>215</v>
      </c>
      <c r="B97" s="37" t="s">
        <v>216</v>
      </c>
      <c r="C97" s="38">
        <v>405906</v>
      </c>
      <c r="D97" s="38" t="b">
        <v>0</v>
      </c>
      <c r="E97" s="38">
        <v>5</v>
      </c>
      <c r="F97" s="38" t="s">
        <v>208</v>
      </c>
      <c r="G97" s="38" t="s">
        <v>209</v>
      </c>
      <c r="H97" s="39">
        <v>45114</v>
      </c>
      <c r="I97" s="38">
        <v>22</v>
      </c>
      <c r="J97" s="38" t="s">
        <v>56</v>
      </c>
      <c r="K97" s="38" t="s">
        <v>57</v>
      </c>
      <c r="L97" s="38" t="s">
        <v>58</v>
      </c>
      <c r="M97" s="38">
        <v>0.379</v>
      </c>
      <c r="N97" s="38">
        <v>0.46800000000000003</v>
      </c>
      <c r="O97" s="38">
        <v>-5.07</v>
      </c>
      <c r="P97" s="38">
        <v>2.98E-2</v>
      </c>
      <c r="Q97" s="38">
        <v>3.27E-2</v>
      </c>
      <c r="R97" s="38">
        <v>0</v>
      </c>
      <c r="S97" s="38">
        <v>0.158</v>
      </c>
      <c r="T97" s="38">
        <v>0.115</v>
      </c>
    </row>
    <row r="98" spans="1:20" x14ac:dyDescent="0.15">
      <c r="A98" s="36" t="s">
        <v>217</v>
      </c>
      <c r="B98" s="37" t="s">
        <v>218</v>
      </c>
      <c r="C98" s="38">
        <v>238693</v>
      </c>
      <c r="D98" s="38" t="b">
        <v>0</v>
      </c>
      <c r="E98" s="38">
        <v>6</v>
      </c>
      <c r="F98" s="38" t="s">
        <v>208</v>
      </c>
      <c r="G98" s="38" t="s">
        <v>209</v>
      </c>
      <c r="H98" s="39">
        <v>45114</v>
      </c>
      <c r="I98" s="38">
        <v>22</v>
      </c>
      <c r="J98" s="38" t="s">
        <v>56</v>
      </c>
      <c r="K98" s="38" t="s">
        <v>57</v>
      </c>
      <c r="L98" s="38" t="s">
        <v>58</v>
      </c>
      <c r="M98" s="38">
        <v>0.52600000000000002</v>
      </c>
      <c r="N98" s="38">
        <v>0.7</v>
      </c>
      <c r="O98" s="38">
        <v>-3.95</v>
      </c>
      <c r="P98" s="38">
        <v>3.9199999999999999E-2</v>
      </c>
      <c r="Q98" s="38">
        <v>0.32100000000000001</v>
      </c>
      <c r="R98" s="38">
        <v>0</v>
      </c>
      <c r="S98" s="38">
        <v>0.21299999999999999</v>
      </c>
      <c r="T98" s="38">
        <v>0.59599999999999997</v>
      </c>
    </row>
    <row r="99" spans="1:20" x14ac:dyDescent="0.15">
      <c r="A99" s="36" t="s">
        <v>219</v>
      </c>
      <c r="B99" s="37" t="s">
        <v>220</v>
      </c>
      <c r="C99" s="38">
        <v>267653</v>
      </c>
      <c r="D99" s="38" t="b">
        <v>0</v>
      </c>
      <c r="E99" s="38">
        <v>7</v>
      </c>
      <c r="F99" s="38" t="s">
        <v>208</v>
      </c>
      <c r="G99" s="38" t="s">
        <v>209</v>
      </c>
      <c r="H99" s="39">
        <v>45114</v>
      </c>
      <c r="I99" s="38">
        <v>22</v>
      </c>
      <c r="J99" s="38" t="s">
        <v>56</v>
      </c>
      <c r="K99" s="38" t="s">
        <v>57</v>
      </c>
      <c r="L99" s="38" t="s">
        <v>58</v>
      </c>
      <c r="M99" s="38">
        <v>0.51600000000000001</v>
      </c>
      <c r="N99" s="38">
        <v>0.78400000000000003</v>
      </c>
      <c r="O99" s="38">
        <v>-2.6360000000000001</v>
      </c>
      <c r="P99" s="38">
        <v>5.6300000000000003E-2</v>
      </c>
      <c r="Q99" s="38">
        <v>1.3600000000000001E-3</v>
      </c>
      <c r="R99" s="38">
        <v>0</v>
      </c>
      <c r="S99" s="38">
        <v>4.99E-2</v>
      </c>
      <c r="T99" s="38">
        <v>0.55200000000000005</v>
      </c>
    </row>
    <row r="100" spans="1:20" x14ac:dyDescent="0.15">
      <c r="A100" s="36" t="s">
        <v>221</v>
      </c>
      <c r="B100" s="37" t="s">
        <v>222</v>
      </c>
      <c r="C100" s="38">
        <v>292920</v>
      </c>
      <c r="D100" s="38" t="b">
        <v>0</v>
      </c>
      <c r="E100" s="38">
        <v>8</v>
      </c>
      <c r="F100" s="38" t="s">
        <v>208</v>
      </c>
      <c r="G100" s="38" t="s">
        <v>209</v>
      </c>
      <c r="H100" s="39">
        <v>45114</v>
      </c>
      <c r="I100" s="38">
        <v>22</v>
      </c>
      <c r="J100" s="38" t="s">
        <v>56</v>
      </c>
      <c r="K100" s="38" t="s">
        <v>57</v>
      </c>
      <c r="L100" s="38" t="s">
        <v>58</v>
      </c>
      <c r="M100" s="38">
        <v>0.68400000000000005</v>
      </c>
      <c r="N100" s="38">
        <v>0.33900000000000002</v>
      </c>
      <c r="O100" s="38">
        <v>-7.2590000000000003</v>
      </c>
      <c r="P100" s="38">
        <v>2.9000000000000001E-2</v>
      </c>
      <c r="Q100" s="38">
        <v>0.86699999999999999</v>
      </c>
      <c r="R100" s="38">
        <v>0</v>
      </c>
      <c r="S100" s="38">
        <v>0.19400000000000001</v>
      </c>
      <c r="T100" s="38">
        <v>0.57199999999999995</v>
      </c>
    </row>
    <row r="101" spans="1:20" x14ac:dyDescent="0.15">
      <c r="A101" s="36" t="s">
        <v>223</v>
      </c>
      <c r="B101" s="37" t="s">
        <v>224</v>
      </c>
      <c r="C101" s="38">
        <v>353253</v>
      </c>
      <c r="D101" s="38" t="b">
        <v>0</v>
      </c>
      <c r="E101" s="38">
        <v>9</v>
      </c>
      <c r="F101" s="38" t="s">
        <v>208</v>
      </c>
      <c r="G101" s="38" t="s">
        <v>209</v>
      </c>
      <c r="H101" s="39">
        <v>45114</v>
      </c>
      <c r="I101" s="38">
        <v>22</v>
      </c>
      <c r="J101" s="38" t="s">
        <v>56</v>
      </c>
      <c r="K101" s="38" t="s">
        <v>57</v>
      </c>
      <c r="L101" s="38" t="s">
        <v>58</v>
      </c>
      <c r="M101" s="38">
        <v>0.52</v>
      </c>
      <c r="N101" s="38">
        <v>0.55300000000000005</v>
      </c>
      <c r="O101" s="38">
        <v>-3.5459999999999998</v>
      </c>
      <c r="P101" s="38">
        <v>2.69E-2</v>
      </c>
      <c r="Q101" s="38">
        <v>1.6E-2</v>
      </c>
      <c r="R101" s="38">
        <v>0</v>
      </c>
      <c r="S101" s="38">
        <v>0.16500000000000001</v>
      </c>
      <c r="T101" s="38">
        <v>0.22700000000000001</v>
      </c>
    </row>
    <row r="102" spans="1:20" x14ac:dyDescent="0.15">
      <c r="A102" s="36" t="s">
        <v>225</v>
      </c>
      <c r="B102" s="37" t="s">
        <v>226</v>
      </c>
      <c r="C102" s="38">
        <v>220306</v>
      </c>
      <c r="D102" s="38" t="b">
        <v>0</v>
      </c>
      <c r="E102" s="38">
        <v>10</v>
      </c>
      <c r="F102" s="38" t="s">
        <v>208</v>
      </c>
      <c r="G102" s="38" t="s">
        <v>209</v>
      </c>
      <c r="H102" s="39">
        <v>45114</v>
      </c>
      <c r="I102" s="38">
        <v>22</v>
      </c>
      <c r="J102" s="38" t="s">
        <v>56</v>
      </c>
      <c r="K102" s="38" t="s">
        <v>57</v>
      </c>
      <c r="L102" s="38" t="s">
        <v>58</v>
      </c>
      <c r="M102" s="38">
        <v>0.505</v>
      </c>
      <c r="N102" s="38">
        <v>0.89300000000000002</v>
      </c>
      <c r="O102" s="38">
        <v>-3.0129999999999999</v>
      </c>
      <c r="P102" s="38">
        <v>7.7100000000000002E-2</v>
      </c>
      <c r="Q102" s="38">
        <v>7.9500000000000003E-4</v>
      </c>
      <c r="R102" s="38">
        <v>0</v>
      </c>
      <c r="S102" s="38">
        <v>0.17799999999999999</v>
      </c>
      <c r="T102" s="38">
        <v>0.65900000000000003</v>
      </c>
    </row>
    <row r="103" spans="1:20" x14ac:dyDescent="0.15">
      <c r="A103" s="36" t="s">
        <v>227</v>
      </c>
      <c r="B103" s="37" t="s">
        <v>228</v>
      </c>
      <c r="C103" s="38">
        <v>301221</v>
      </c>
      <c r="D103" s="38" t="b">
        <v>0</v>
      </c>
      <c r="E103" s="38">
        <v>11</v>
      </c>
      <c r="F103" s="38" t="s">
        <v>208</v>
      </c>
      <c r="G103" s="38" t="s">
        <v>209</v>
      </c>
      <c r="H103" s="39">
        <v>45114</v>
      </c>
      <c r="I103" s="38">
        <v>22</v>
      </c>
      <c r="J103" s="38" t="s">
        <v>56</v>
      </c>
      <c r="K103" s="38" t="s">
        <v>57</v>
      </c>
      <c r="L103" s="38" t="s">
        <v>58</v>
      </c>
      <c r="M103" s="38">
        <v>0.52400000000000002</v>
      </c>
      <c r="N103" s="38">
        <v>0.61099999999999999</v>
      </c>
      <c r="O103" s="38">
        <v>-5.298</v>
      </c>
      <c r="P103" s="38">
        <v>2.9700000000000001E-2</v>
      </c>
      <c r="Q103" s="38">
        <v>9.7199999999999995E-2</v>
      </c>
      <c r="R103" s="38">
        <v>0</v>
      </c>
      <c r="S103" s="38">
        <v>0.127</v>
      </c>
      <c r="T103" s="38">
        <v>0.126</v>
      </c>
    </row>
    <row r="104" spans="1:20" x14ac:dyDescent="0.15">
      <c r="A104" s="36" t="s">
        <v>229</v>
      </c>
      <c r="B104" s="37" t="s">
        <v>230</v>
      </c>
      <c r="C104" s="38">
        <v>245413</v>
      </c>
      <c r="D104" s="38" t="b">
        <v>0</v>
      </c>
      <c r="E104" s="38">
        <v>12</v>
      </c>
      <c r="F104" s="38" t="s">
        <v>208</v>
      </c>
      <c r="G104" s="38" t="s">
        <v>209</v>
      </c>
      <c r="H104" s="39">
        <v>45114</v>
      </c>
      <c r="I104" s="38">
        <v>22</v>
      </c>
      <c r="J104" s="38" t="s">
        <v>56</v>
      </c>
      <c r="K104" s="38" t="s">
        <v>57</v>
      </c>
      <c r="L104" s="38" t="s">
        <v>58</v>
      </c>
      <c r="M104" s="38">
        <v>0.44</v>
      </c>
      <c r="N104" s="38">
        <v>0.91600000000000004</v>
      </c>
      <c r="O104" s="38">
        <v>-1.927</v>
      </c>
      <c r="P104" s="38">
        <v>6.2899999999999998E-2</v>
      </c>
      <c r="Q104" s="38">
        <v>5.5199999999999997E-3</v>
      </c>
      <c r="R104" s="38">
        <v>0</v>
      </c>
      <c r="S104" s="38">
        <v>0.252</v>
      </c>
      <c r="T104" s="38">
        <v>0.371</v>
      </c>
    </row>
    <row r="105" spans="1:20" x14ac:dyDescent="0.15">
      <c r="A105" s="36" t="s">
        <v>231</v>
      </c>
      <c r="B105" s="37" t="s">
        <v>232</v>
      </c>
      <c r="C105" s="38">
        <v>369120</v>
      </c>
      <c r="D105" s="38" t="b">
        <v>0</v>
      </c>
      <c r="E105" s="38">
        <v>13</v>
      </c>
      <c r="F105" s="38" t="s">
        <v>208</v>
      </c>
      <c r="G105" s="38" t="s">
        <v>209</v>
      </c>
      <c r="H105" s="39">
        <v>45114</v>
      </c>
      <c r="I105" s="38">
        <v>22</v>
      </c>
      <c r="J105" s="38" t="s">
        <v>56</v>
      </c>
      <c r="K105" s="38" t="s">
        <v>57</v>
      </c>
      <c r="L105" s="38" t="s">
        <v>58</v>
      </c>
      <c r="M105" s="38">
        <v>0.55700000000000005</v>
      </c>
      <c r="N105" s="38">
        <v>0.36199999999999999</v>
      </c>
      <c r="O105" s="38">
        <v>-8.641</v>
      </c>
      <c r="P105" s="38">
        <v>2.63E-2</v>
      </c>
      <c r="Q105" s="38">
        <v>0.443</v>
      </c>
      <c r="R105" s="38">
        <v>3.5700000000000001E-6</v>
      </c>
      <c r="S105" s="38">
        <v>0.1</v>
      </c>
      <c r="T105" s="38">
        <v>0.187</v>
      </c>
    </row>
    <row r="106" spans="1:20" x14ac:dyDescent="0.15">
      <c r="A106" s="36" t="s">
        <v>233</v>
      </c>
      <c r="B106" s="37" t="s">
        <v>234</v>
      </c>
      <c r="C106" s="38">
        <v>317960</v>
      </c>
      <c r="D106" s="38" t="b">
        <v>0</v>
      </c>
      <c r="E106" s="38">
        <v>14</v>
      </c>
      <c r="F106" s="38" t="s">
        <v>208</v>
      </c>
      <c r="G106" s="38" t="s">
        <v>209</v>
      </c>
      <c r="H106" s="39">
        <v>45114</v>
      </c>
      <c r="I106" s="38">
        <v>22</v>
      </c>
      <c r="J106" s="38" t="s">
        <v>56</v>
      </c>
      <c r="K106" s="38" t="s">
        <v>57</v>
      </c>
      <c r="L106" s="38" t="s">
        <v>58</v>
      </c>
      <c r="M106" s="38">
        <v>0.38</v>
      </c>
      <c r="N106" s="38">
        <v>0.628</v>
      </c>
      <c r="O106" s="38">
        <v>-4.0540000000000003</v>
      </c>
      <c r="P106" s="38">
        <v>3.7999999999999999E-2</v>
      </c>
      <c r="Q106" s="38">
        <v>1.6199999999999999E-2</v>
      </c>
      <c r="R106" s="38">
        <v>0</v>
      </c>
      <c r="S106" s="38">
        <v>0.22700000000000001</v>
      </c>
      <c r="T106" s="38">
        <v>9.8400000000000001E-2</v>
      </c>
    </row>
    <row r="107" spans="1:20" x14ac:dyDescent="0.15">
      <c r="A107" s="36" t="s">
        <v>235</v>
      </c>
      <c r="B107" s="37" t="s">
        <v>236</v>
      </c>
      <c r="C107" s="38">
        <v>235803</v>
      </c>
      <c r="D107" s="38" t="b">
        <v>0</v>
      </c>
      <c r="E107" s="38">
        <v>15</v>
      </c>
      <c r="F107" s="38" t="s">
        <v>208</v>
      </c>
      <c r="G107" s="38" t="s">
        <v>209</v>
      </c>
      <c r="H107" s="39">
        <v>45114</v>
      </c>
      <c r="I107" s="38">
        <v>22</v>
      </c>
      <c r="J107" s="38" t="s">
        <v>56</v>
      </c>
      <c r="K107" s="38" t="s">
        <v>57</v>
      </c>
      <c r="L107" s="38" t="s">
        <v>58</v>
      </c>
      <c r="M107" s="38">
        <v>0.53900000000000003</v>
      </c>
      <c r="N107" s="38">
        <v>0.47499999999999998</v>
      </c>
      <c r="O107" s="38">
        <v>-8.4109999999999996</v>
      </c>
      <c r="P107" s="38">
        <v>2.87E-2</v>
      </c>
      <c r="Q107" s="38">
        <v>0.42</v>
      </c>
      <c r="R107" s="38">
        <v>0</v>
      </c>
      <c r="S107" s="38">
        <v>0.109</v>
      </c>
      <c r="T107" s="38">
        <v>0.29299999999999998</v>
      </c>
    </row>
    <row r="108" spans="1:20" x14ac:dyDescent="0.15">
      <c r="A108" s="36" t="s">
        <v>237</v>
      </c>
      <c r="B108" s="37" t="s">
        <v>238</v>
      </c>
      <c r="C108" s="38">
        <v>274945</v>
      </c>
      <c r="D108" s="38" t="b">
        <v>0</v>
      </c>
      <c r="E108" s="38">
        <v>16</v>
      </c>
      <c r="F108" s="38" t="s">
        <v>208</v>
      </c>
      <c r="G108" s="38" t="s">
        <v>209</v>
      </c>
      <c r="H108" s="39">
        <v>45114</v>
      </c>
      <c r="I108" s="38">
        <v>22</v>
      </c>
      <c r="J108" s="38" t="s">
        <v>56</v>
      </c>
      <c r="K108" s="38" t="s">
        <v>57</v>
      </c>
      <c r="L108" s="38" t="s">
        <v>58</v>
      </c>
      <c r="M108" s="38">
        <v>0.53700000000000003</v>
      </c>
      <c r="N108" s="38">
        <v>0.73299999999999998</v>
      </c>
      <c r="O108" s="38">
        <v>-3.5059999999999998</v>
      </c>
      <c r="P108" s="38">
        <v>3.0200000000000001E-2</v>
      </c>
      <c r="Q108" s="38">
        <v>2.0699999999999998E-3</v>
      </c>
      <c r="R108" s="38">
        <v>0</v>
      </c>
      <c r="S108" s="38">
        <v>0.11</v>
      </c>
      <c r="T108" s="38">
        <v>0.34699999999999998</v>
      </c>
    </row>
    <row r="109" spans="1:20" x14ac:dyDescent="0.15">
      <c r="A109" s="36" t="s">
        <v>239</v>
      </c>
      <c r="B109" s="37" t="s">
        <v>240</v>
      </c>
      <c r="C109" s="38">
        <v>266466</v>
      </c>
      <c r="D109" s="38" t="b">
        <v>0</v>
      </c>
      <c r="E109" s="38">
        <v>17</v>
      </c>
      <c r="F109" s="38" t="s">
        <v>208</v>
      </c>
      <c r="G109" s="38" t="s">
        <v>209</v>
      </c>
      <c r="H109" s="39">
        <v>45114</v>
      </c>
      <c r="I109" s="38">
        <v>22</v>
      </c>
      <c r="J109" s="38" t="s">
        <v>56</v>
      </c>
      <c r="K109" s="38" t="s">
        <v>57</v>
      </c>
      <c r="L109" s="38" t="s">
        <v>58</v>
      </c>
      <c r="M109" s="38">
        <v>0.54700000000000004</v>
      </c>
      <c r="N109" s="38">
        <v>0.85399999999999998</v>
      </c>
      <c r="O109" s="38">
        <v>-4.7530000000000001</v>
      </c>
      <c r="P109" s="38">
        <v>5.2600000000000001E-2</v>
      </c>
      <c r="Q109" s="38">
        <v>1.7999999999999999E-2</v>
      </c>
      <c r="R109" s="38">
        <v>0</v>
      </c>
      <c r="S109" s="38">
        <v>0.156</v>
      </c>
      <c r="T109" s="38">
        <v>0.26</v>
      </c>
    </row>
    <row r="110" spans="1:20" x14ac:dyDescent="0.15">
      <c r="A110" s="36" t="s">
        <v>241</v>
      </c>
      <c r="B110" s="37" t="s">
        <v>242</v>
      </c>
      <c r="C110" s="38">
        <v>252385</v>
      </c>
      <c r="D110" s="38" t="b">
        <v>0</v>
      </c>
      <c r="E110" s="38">
        <v>18</v>
      </c>
      <c r="F110" s="38" t="s">
        <v>208</v>
      </c>
      <c r="G110" s="38" t="s">
        <v>209</v>
      </c>
      <c r="H110" s="39">
        <v>45114</v>
      </c>
      <c r="I110" s="38">
        <v>22</v>
      </c>
      <c r="J110" s="38" t="s">
        <v>56</v>
      </c>
      <c r="K110" s="38" t="s">
        <v>57</v>
      </c>
      <c r="L110" s="38" t="s">
        <v>58</v>
      </c>
      <c r="M110" s="38">
        <v>0.52400000000000002</v>
      </c>
      <c r="N110" s="38">
        <v>0.75900000000000001</v>
      </c>
      <c r="O110" s="38">
        <v>-4.7140000000000004</v>
      </c>
      <c r="P110" s="38">
        <v>4.7100000000000003E-2</v>
      </c>
      <c r="Q110" s="38">
        <v>0.16800000000000001</v>
      </c>
      <c r="R110" s="38">
        <v>0</v>
      </c>
      <c r="S110" s="38">
        <v>0.104</v>
      </c>
      <c r="T110" s="38">
        <v>0.23400000000000001</v>
      </c>
    </row>
    <row r="111" spans="1:20" x14ac:dyDescent="0.15">
      <c r="A111" s="36" t="s">
        <v>243</v>
      </c>
      <c r="B111" s="37" t="s">
        <v>244</v>
      </c>
      <c r="C111" s="38">
        <v>273186</v>
      </c>
      <c r="D111" s="38" t="b">
        <v>0</v>
      </c>
      <c r="E111" s="38">
        <v>19</v>
      </c>
      <c r="F111" s="38" t="s">
        <v>208</v>
      </c>
      <c r="G111" s="38" t="s">
        <v>209</v>
      </c>
      <c r="H111" s="39">
        <v>45114</v>
      </c>
      <c r="I111" s="38">
        <v>22</v>
      </c>
      <c r="J111" s="38" t="s">
        <v>56</v>
      </c>
      <c r="K111" s="38" t="s">
        <v>57</v>
      </c>
      <c r="L111" s="38" t="s">
        <v>58</v>
      </c>
      <c r="M111" s="38">
        <v>0.69499999999999995</v>
      </c>
      <c r="N111" s="38">
        <v>0.76800000000000002</v>
      </c>
      <c r="O111" s="38">
        <v>-4.883</v>
      </c>
      <c r="P111" s="38">
        <v>3.44E-2</v>
      </c>
      <c r="Q111" s="38">
        <v>5.7700000000000001E-2</v>
      </c>
      <c r="R111" s="38">
        <v>0</v>
      </c>
      <c r="S111" s="38">
        <v>4.2599999999999999E-2</v>
      </c>
      <c r="T111" s="38">
        <v>0.81299999999999994</v>
      </c>
    </row>
    <row r="112" spans="1:20" x14ac:dyDescent="0.15">
      <c r="A112" s="36" t="s">
        <v>245</v>
      </c>
      <c r="B112" s="37" t="s">
        <v>246</v>
      </c>
      <c r="C112" s="38">
        <v>306062</v>
      </c>
      <c r="D112" s="38" t="b">
        <v>0</v>
      </c>
      <c r="E112" s="38">
        <v>20</v>
      </c>
      <c r="F112" s="38" t="s">
        <v>208</v>
      </c>
      <c r="G112" s="38" t="s">
        <v>209</v>
      </c>
      <c r="H112" s="39">
        <v>45114</v>
      </c>
      <c r="I112" s="38">
        <v>22</v>
      </c>
      <c r="J112" s="38" t="s">
        <v>56</v>
      </c>
      <c r="K112" s="38" t="s">
        <v>57</v>
      </c>
      <c r="L112" s="38" t="s">
        <v>58</v>
      </c>
      <c r="M112" s="38">
        <v>0.57799999999999996</v>
      </c>
      <c r="N112" s="38">
        <v>0.56499999999999995</v>
      </c>
      <c r="O112" s="38">
        <v>-8.0640000000000001</v>
      </c>
      <c r="P112" s="38">
        <v>4.41E-2</v>
      </c>
      <c r="Q112" s="38">
        <v>0.34200000000000003</v>
      </c>
      <c r="R112" s="38">
        <v>0</v>
      </c>
      <c r="S112" s="38">
        <v>6.6199999999999995E-2</v>
      </c>
      <c r="T112" s="38">
        <v>0.35099999999999998</v>
      </c>
    </row>
    <row r="113" spans="1:20" x14ac:dyDescent="0.15">
      <c r="A113" s="36" t="s">
        <v>247</v>
      </c>
      <c r="B113" s="37" t="s">
        <v>248</v>
      </c>
      <c r="C113" s="38">
        <v>311765</v>
      </c>
      <c r="D113" s="38" t="b">
        <v>0</v>
      </c>
      <c r="E113" s="38">
        <v>21</v>
      </c>
      <c r="F113" s="38" t="s">
        <v>208</v>
      </c>
      <c r="G113" s="38" t="s">
        <v>209</v>
      </c>
      <c r="H113" s="39">
        <v>45114</v>
      </c>
      <c r="I113" s="38">
        <v>22</v>
      </c>
      <c r="J113" s="38" t="s">
        <v>56</v>
      </c>
      <c r="K113" s="38" t="s">
        <v>57</v>
      </c>
      <c r="L113" s="38" t="s">
        <v>58</v>
      </c>
      <c r="M113" s="38">
        <v>0.67200000000000004</v>
      </c>
      <c r="N113" s="38">
        <v>0.61299999999999999</v>
      </c>
      <c r="O113" s="38">
        <v>-4.7089999999999996</v>
      </c>
      <c r="P113" s="38">
        <v>2.98E-2</v>
      </c>
      <c r="Q113" s="38">
        <v>0.59899999999999998</v>
      </c>
      <c r="R113" s="38">
        <v>0</v>
      </c>
      <c r="S113" s="38">
        <v>0.112</v>
      </c>
      <c r="T113" s="38">
        <v>0.55700000000000005</v>
      </c>
    </row>
    <row r="114" spans="1:20" x14ac:dyDescent="0.15">
      <c r="A114" s="36" t="s">
        <v>249</v>
      </c>
      <c r="B114" s="37" t="s">
        <v>250</v>
      </c>
      <c r="C114" s="38">
        <v>321396</v>
      </c>
      <c r="D114" s="38" t="b">
        <v>0</v>
      </c>
      <c r="E114" s="38">
        <v>22</v>
      </c>
      <c r="F114" s="38" t="s">
        <v>208</v>
      </c>
      <c r="G114" s="38" t="s">
        <v>209</v>
      </c>
      <c r="H114" s="39">
        <v>45114</v>
      </c>
      <c r="I114" s="38">
        <v>22</v>
      </c>
      <c r="J114" s="38" t="s">
        <v>56</v>
      </c>
      <c r="K114" s="38" t="s">
        <v>57</v>
      </c>
      <c r="L114" s="38" t="s">
        <v>58</v>
      </c>
      <c r="M114" s="38">
        <v>0.629</v>
      </c>
      <c r="N114" s="38">
        <v>0.57799999999999996</v>
      </c>
      <c r="O114" s="38">
        <v>-5.806</v>
      </c>
      <c r="P114" s="38">
        <v>3.1899999999999998E-2</v>
      </c>
      <c r="Q114" s="38">
        <v>0.33200000000000002</v>
      </c>
      <c r="R114" s="38">
        <v>0</v>
      </c>
      <c r="S114" s="38">
        <v>8.6800000000000002E-2</v>
      </c>
      <c r="T114" s="38">
        <v>0.65100000000000002</v>
      </c>
    </row>
    <row r="115" spans="1:20" x14ac:dyDescent="0.15">
      <c r="A115" s="36" t="s">
        <v>251</v>
      </c>
      <c r="B115" s="37" t="s">
        <v>252</v>
      </c>
      <c r="C115" s="38">
        <v>202395</v>
      </c>
      <c r="D115" s="38" t="b">
        <v>1</v>
      </c>
      <c r="E115" s="38">
        <v>1</v>
      </c>
      <c r="F115" s="38" t="s">
        <v>253</v>
      </c>
      <c r="G115" s="38" t="s">
        <v>254</v>
      </c>
      <c r="H115" s="39">
        <v>45072</v>
      </c>
      <c r="I115" s="38">
        <v>23</v>
      </c>
      <c r="J115" s="38" t="s">
        <v>56</v>
      </c>
      <c r="K115" s="38" t="s">
        <v>57</v>
      </c>
      <c r="L115" s="38" t="s">
        <v>58</v>
      </c>
      <c r="M115" s="38">
        <v>0.73499999999999999</v>
      </c>
      <c r="N115" s="38">
        <v>0.44900000000000001</v>
      </c>
      <c r="O115" s="38">
        <v>-10.56</v>
      </c>
      <c r="P115" s="38">
        <v>8.8300000000000003E-2</v>
      </c>
      <c r="Q115" s="38">
        <v>0.23</v>
      </c>
      <c r="R115" s="38">
        <v>1.2600000000000001E-3</v>
      </c>
      <c r="S115" s="38">
        <v>0.13200000000000001</v>
      </c>
      <c r="T115" s="38">
        <v>9.5500000000000002E-2</v>
      </c>
    </row>
    <row r="116" spans="1:20" x14ac:dyDescent="0.15">
      <c r="A116" s="36" t="s">
        <v>255</v>
      </c>
      <c r="B116" s="37" t="s">
        <v>256</v>
      </c>
      <c r="C116" s="38">
        <v>218270</v>
      </c>
      <c r="D116" s="38" t="b">
        <v>1</v>
      </c>
      <c r="E116" s="38">
        <v>2</v>
      </c>
      <c r="F116" s="38" t="s">
        <v>253</v>
      </c>
      <c r="G116" s="38" t="s">
        <v>254</v>
      </c>
      <c r="H116" s="39">
        <v>45072</v>
      </c>
      <c r="I116" s="38">
        <v>23</v>
      </c>
      <c r="J116" s="38" t="s">
        <v>56</v>
      </c>
      <c r="K116" s="38" t="s">
        <v>57</v>
      </c>
      <c r="L116" s="38" t="s">
        <v>58</v>
      </c>
      <c r="M116" s="38">
        <v>0.65500000000000003</v>
      </c>
      <c r="N116" s="38">
        <v>0.38400000000000001</v>
      </c>
      <c r="O116" s="38">
        <v>-8.2899999999999991</v>
      </c>
      <c r="P116" s="38">
        <v>3.49E-2</v>
      </c>
      <c r="Q116" s="38">
        <v>6.3399999999999998E-2</v>
      </c>
      <c r="R116" s="38">
        <v>1.4500000000000001E-6</v>
      </c>
      <c r="S116" s="38">
        <v>9.7299999999999998E-2</v>
      </c>
      <c r="T116" s="38">
        <v>3.8399999999999997E-2</v>
      </c>
    </row>
    <row r="117" spans="1:20" x14ac:dyDescent="0.15">
      <c r="A117" s="36" t="s">
        <v>257</v>
      </c>
      <c r="B117" s="37" t="s">
        <v>258</v>
      </c>
      <c r="C117" s="38">
        <v>200690</v>
      </c>
      <c r="D117" s="38" t="b">
        <v>0</v>
      </c>
      <c r="E117" s="38">
        <v>3</v>
      </c>
      <c r="F117" s="38" t="s">
        <v>253</v>
      </c>
      <c r="G117" s="38" t="s">
        <v>254</v>
      </c>
      <c r="H117" s="39">
        <v>45072</v>
      </c>
      <c r="I117" s="38">
        <v>23</v>
      </c>
      <c r="J117" s="38" t="s">
        <v>56</v>
      </c>
      <c r="K117" s="38" t="s">
        <v>57</v>
      </c>
      <c r="L117" s="38" t="s">
        <v>58</v>
      </c>
      <c r="M117" s="38">
        <v>0.63300000000000001</v>
      </c>
      <c r="N117" s="38">
        <v>0.64800000000000002</v>
      </c>
      <c r="O117" s="38">
        <v>-6.6449999999999996</v>
      </c>
      <c r="P117" s="38">
        <v>6.2E-2</v>
      </c>
      <c r="Q117" s="38">
        <v>0.121</v>
      </c>
      <c r="R117" s="38">
        <v>2.6199999999999999E-6</v>
      </c>
      <c r="S117" s="38">
        <v>0.161</v>
      </c>
      <c r="T117" s="38">
        <v>0.49</v>
      </c>
    </row>
    <row r="118" spans="1:20" x14ac:dyDescent="0.15">
      <c r="A118" s="36" t="s">
        <v>259</v>
      </c>
      <c r="B118" s="37" t="s">
        <v>260</v>
      </c>
      <c r="C118" s="38">
        <v>256124</v>
      </c>
      <c r="D118" s="38" t="b">
        <v>1</v>
      </c>
      <c r="E118" s="38">
        <v>4</v>
      </c>
      <c r="F118" s="38" t="s">
        <v>253</v>
      </c>
      <c r="G118" s="38" t="s">
        <v>254</v>
      </c>
      <c r="H118" s="39">
        <v>45072</v>
      </c>
      <c r="I118" s="38">
        <v>23</v>
      </c>
      <c r="J118" s="38" t="s">
        <v>56</v>
      </c>
      <c r="K118" s="38" t="s">
        <v>57</v>
      </c>
      <c r="L118" s="38" t="s">
        <v>58</v>
      </c>
      <c r="M118" s="38">
        <v>0.66300000000000003</v>
      </c>
      <c r="N118" s="38">
        <v>0.32100000000000001</v>
      </c>
      <c r="O118" s="38">
        <v>-13.526999999999999</v>
      </c>
      <c r="P118" s="38">
        <v>4.0899999999999999E-2</v>
      </c>
      <c r="Q118" s="38">
        <v>0.70099999999999996</v>
      </c>
      <c r="R118" s="38">
        <v>5.9800000000000001E-4</v>
      </c>
      <c r="S118" s="38">
        <v>0.107</v>
      </c>
      <c r="T118" s="38">
        <v>0.153</v>
      </c>
    </row>
    <row r="119" spans="1:20" x14ac:dyDescent="0.15">
      <c r="A119" s="36" t="s">
        <v>261</v>
      </c>
      <c r="B119" s="37" t="s">
        <v>262</v>
      </c>
      <c r="C119" s="38">
        <v>194206</v>
      </c>
      <c r="D119" s="38" t="b">
        <v>0</v>
      </c>
      <c r="E119" s="38">
        <v>5</v>
      </c>
      <c r="F119" s="38" t="s">
        <v>253</v>
      </c>
      <c r="G119" s="38" t="s">
        <v>254</v>
      </c>
      <c r="H119" s="39">
        <v>45072</v>
      </c>
      <c r="I119" s="38">
        <v>23</v>
      </c>
      <c r="J119" s="38" t="s">
        <v>56</v>
      </c>
      <c r="K119" s="38" t="s">
        <v>57</v>
      </c>
      <c r="L119" s="38" t="s">
        <v>58</v>
      </c>
      <c r="M119" s="38">
        <v>0.69599999999999995</v>
      </c>
      <c r="N119" s="38">
        <v>0.39</v>
      </c>
      <c r="O119" s="38">
        <v>-10.331</v>
      </c>
      <c r="P119" s="38">
        <v>6.1600000000000002E-2</v>
      </c>
      <c r="Q119" s="38">
        <v>0.44700000000000001</v>
      </c>
      <c r="R119" s="38">
        <v>1.5500000000000001E-5</v>
      </c>
      <c r="S119" s="38">
        <v>0.125</v>
      </c>
      <c r="T119" s="38">
        <v>0.39500000000000002</v>
      </c>
    </row>
    <row r="120" spans="1:20" x14ac:dyDescent="0.15">
      <c r="A120" s="36" t="s">
        <v>263</v>
      </c>
      <c r="B120" s="37" t="s">
        <v>264</v>
      </c>
      <c r="C120" s="38">
        <v>174782</v>
      </c>
      <c r="D120" s="38" t="b">
        <v>0</v>
      </c>
      <c r="E120" s="38">
        <v>6</v>
      </c>
      <c r="F120" s="38" t="s">
        <v>253</v>
      </c>
      <c r="G120" s="38" t="s">
        <v>254</v>
      </c>
      <c r="H120" s="39">
        <v>45072</v>
      </c>
      <c r="I120" s="38">
        <v>23</v>
      </c>
      <c r="J120" s="38" t="s">
        <v>56</v>
      </c>
      <c r="K120" s="38" t="s">
        <v>57</v>
      </c>
      <c r="L120" s="38" t="s">
        <v>58</v>
      </c>
      <c r="M120" s="38">
        <v>0.60399999999999998</v>
      </c>
      <c r="N120" s="38">
        <v>0.375</v>
      </c>
      <c r="O120" s="38">
        <v>-11.637</v>
      </c>
      <c r="P120" s="38">
        <v>6.3299999999999995E-2</v>
      </c>
      <c r="Q120" s="38">
        <v>0.71</v>
      </c>
      <c r="R120" s="38">
        <v>5.8699999999999997E-5</v>
      </c>
      <c r="S120" s="38">
        <v>0.11600000000000001</v>
      </c>
      <c r="T120" s="38">
        <v>0.20300000000000001</v>
      </c>
    </row>
    <row r="121" spans="1:20" x14ac:dyDescent="0.15">
      <c r="A121" s="36" t="s">
        <v>265</v>
      </c>
      <c r="B121" s="37" t="s">
        <v>266</v>
      </c>
      <c r="C121" s="38">
        <v>210556</v>
      </c>
      <c r="D121" s="38" t="b">
        <v>1</v>
      </c>
      <c r="E121" s="38">
        <v>7</v>
      </c>
      <c r="F121" s="38" t="s">
        <v>253</v>
      </c>
      <c r="G121" s="38" t="s">
        <v>254</v>
      </c>
      <c r="H121" s="39">
        <v>45072</v>
      </c>
      <c r="I121" s="38">
        <v>23</v>
      </c>
      <c r="J121" s="38" t="s">
        <v>56</v>
      </c>
      <c r="K121" s="38" t="s">
        <v>57</v>
      </c>
      <c r="L121" s="38" t="s">
        <v>58</v>
      </c>
      <c r="M121" s="38">
        <v>0.65400000000000003</v>
      </c>
      <c r="N121" s="38">
        <v>0.51</v>
      </c>
      <c r="O121" s="38">
        <v>-8.7669999999999995</v>
      </c>
      <c r="P121" s="38">
        <v>0.24199999999999999</v>
      </c>
      <c r="Q121" s="38">
        <v>0.20599999999999999</v>
      </c>
      <c r="R121" s="38">
        <v>0</v>
      </c>
      <c r="S121" s="38">
        <v>0.249</v>
      </c>
      <c r="T121" s="38">
        <v>0.105</v>
      </c>
    </row>
    <row r="122" spans="1:20" x14ac:dyDescent="0.15">
      <c r="A122" s="36" t="s">
        <v>267</v>
      </c>
      <c r="B122" s="37" t="s">
        <v>268</v>
      </c>
      <c r="C122" s="38">
        <v>164801</v>
      </c>
      <c r="D122" s="38" t="b">
        <v>1</v>
      </c>
      <c r="E122" s="38">
        <v>8</v>
      </c>
      <c r="F122" s="38" t="s">
        <v>253</v>
      </c>
      <c r="G122" s="38" t="s">
        <v>254</v>
      </c>
      <c r="H122" s="39">
        <v>45072</v>
      </c>
      <c r="I122" s="38">
        <v>23</v>
      </c>
      <c r="J122" s="38" t="s">
        <v>56</v>
      </c>
      <c r="K122" s="38" t="s">
        <v>57</v>
      </c>
      <c r="L122" s="38" t="s">
        <v>58</v>
      </c>
      <c r="M122" s="38">
        <v>0.872</v>
      </c>
      <c r="N122" s="38">
        <v>0.26700000000000002</v>
      </c>
      <c r="O122" s="38">
        <v>-10.763999999999999</v>
      </c>
      <c r="P122" s="38">
        <v>0.38700000000000001</v>
      </c>
      <c r="Q122" s="38">
        <v>0.16600000000000001</v>
      </c>
      <c r="R122" s="38">
        <v>2.1800000000000001E-5</v>
      </c>
      <c r="S122" s="38">
        <v>0.123</v>
      </c>
      <c r="T122" s="38">
        <v>0.16800000000000001</v>
      </c>
    </row>
    <row r="123" spans="1:20" x14ac:dyDescent="0.15">
      <c r="A123" s="36" t="s">
        <v>269</v>
      </c>
      <c r="B123" s="37" t="s">
        <v>270</v>
      </c>
      <c r="C123" s="38">
        <v>194165</v>
      </c>
      <c r="D123" s="38" t="b">
        <v>0</v>
      </c>
      <c r="E123" s="38">
        <v>9</v>
      </c>
      <c r="F123" s="38" t="s">
        <v>253</v>
      </c>
      <c r="G123" s="38" t="s">
        <v>254</v>
      </c>
      <c r="H123" s="39">
        <v>45072</v>
      </c>
      <c r="I123" s="38">
        <v>23</v>
      </c>
      <c r="J123" s="38" t="s">
        <v>56</v>
      </c>
      <c r="K123" s="38" t="s">
        <v>57</v>
      </c>
      <c r="L123" s="38" t="s">
        <v>58</v>
      </c>
      <c r="M123" s="38">
        <v>0.68700000000000006</v>
      </c>
      <c r="N123" s="38">
        <v>0.55100000000000005</v>
      </c>
      <c r="O123" s="38">
        <v>-9.202</v>
      </c>
      <c r="P123" s="38">
        <v>7.8700000000000006E-2</v>
      </c>
      <c r="Q123" s="38">
        <v>5.9299999999999999E-2</v>
      </c>
      <c r="R123" s="38">
        <v>1.4300000000000001E-4</v>
      </c>
      <c r="S123" s="38">
        <v>0.09</v>
      </c>
      <c r="T123" s="38">
        <v>0.443</v>
      </c>
    </row>
    <row r="124" spans="1:20" x14ac:dyDescent="0.15">
      <c r="A124" s="36" t="s">
        <v>271</v>
      </c>
      <c r="B124" s="37" t="s">
        <v>272</v>
      </c>
      <c r="C124" s="38">
        <v>247962</v>
      </c>
      <c r="D124" s="38" t="b">
        <v>0</v>
      </c>
      <c r="E124" s="38">
        <v>10</v>
      </c>
      <c r="F124" s="38" t="s">
        <v>253</v>
      </c>
      <c r="G124" s="38" t="s">
        <v>254</v>
      </c>
      <c r="H124" s="39">
        <v>45072</v>
      </c>
      <c r="I124" s="38">
        <v>23</v>
      </c>
      <c r="J124" s="38" t="s">
        <v>56</v>
      </c>
      <c r="K124" s="38" t="s">
        <v>57</v>
      </c>
      <c r="L124" s="38" t="s">
        <v>58</v>
      </c>
      <c r="M124" s="38">
        <v>0.48</v>
      </c>
      <c r="N124" s="38">
        <v>0.29499999999999998</v>
      </c>
      <c r="O124" s="38">
        <v>-15.512</v>
      </c>
      <c r="P124" s="38">
        <v>3.8399999999999997E-2</v>
      </c>
      <c r="Q124" s="38">
        <v>0.79700000000000004</v>
      </c>
      <c r="R124" s="38">
        <v>0.33300000000000002</v>
      </c>
      <c r="S124" s="38">
        <v>0.12</v>
      </c>
      <c r="T124" s="38">
        <v>0.13200000000000001</v>
      </c>
    </row>
    <row r="125" spans="1:20" x14ac:dyDescent="0.15">
      <c r="A125" s="36" t="s">
        <v>273</v>
      </c>
      <c r="B125" s="37" t="s">
        <v>274</v>
      </c>
      <c r="C125" s="38">
        <v>204852</v>
      </c>
      <c r="D125" s="38" t="b">
        <v>1</v>
      </c>
      <c r="E125" s="38">
        <v>11</v>
      </c>
      <c r="F125" s="38" t="s">
        <v>253</v>
      </c>
      <c r="G125" s="38" t="s">
        <v>254</v>
      </c>
      <c r="H125" s="39">
        <v>45072</v>
      </c>
      <c r="I125" s="38">
        <v>23</v>
      </c>
      <c r="J125" s="38" t="s">
        <v>56</v>
      </c>
      <c r="K125" s="38" t="s">
        <v>57</v>
      </c>
      <c r="L125" s="38" t="s">
        <v>58</v>
      </c>
      <c r="M125" s="38">
        <v>0.64</v>
      </c>
      <c r="N125" s="38">
        <v>0.61899999999999999</v>
      </c>
      <c r="O125" s="38">
        <v>-7.1079999999999997</v>
      </c>
      <c r="P125" s="38">
        <v>6.5000000000000002E-2</v>
      </c>
      <c r="Q125" s="38">
        <v>6.2E-2</v>
      </c>
      <c r="R125" s="38">
        <v>0</v>
      </c>
      <c r="S125" s="38">
        <v>0.47499999999999998</v>
      </c>
      <c r="T125" s="38">
        <v>0.121</v>
      </c>
    </row>
    <row r="126" spans="1:20" x14ac:dyDescent="0.15">
      <c r="A126" s="36" t="s">
        <v>275</v>
      </c>
      <c r="B126" s="37" t="s">
        <v>276</v>
      </c>
      <c r="C126" s="38">
        <v>188496</v>
      </c>
      <c r="D126" s="38" t="b">
        <v>0</v>
      </c>
      <c r="E126" s="38">
        <v>12</v>
      </c>
      <c r="F126" s="38" t="s">
        <v>253</v>
      </c>
      <c r="G126" s="38" t="s">
        <v>254</v>
      </c>
      <c r="H126" s="39">
        <v>45072</v>
      </c>
      <c r="I126" s="38">
        <v>23</v>
      </c>
      <c r="J126" s="38" t="s">
        <v>56</v>
      </c>
      <c r="K126" s="38" t="s">
        <v>57</v>
      </c>
      <c r="L126" s="38" t="s">
        <v>58</v>
      </c>
      <c r="M126" s="38">
        <v>0.33600000000000002</v>
      </c>
      <c r="N126" s="38">
        <v>0.161</v>
      </c>
      <c r="O126" s="38">
        <v>-14.973000000000001</v>
      </c>
      <c r="P126" s="38">
        <v>4.5600000000000002E-2</v>
      </c>
      <c r="Q126" s="38">
        <v>0.96799999999999997</v>
      </c>
      <c r="R126" s="38">
        <v>1.1E-4</v>
      </c>
      <c r="S126" s="38">
        <v>0.115</v>
      </c>
      <c r="T126" s="38">
        <v>0.40699999999999997</v>
      </c>
    </row>
    <row r="127" spans="1:20" x14ac:dyDescent="0.15">
      <c r="A127" s="36" t="s">
        <v>277</v>
      </c>
      <c r="B127" s="37" t="s">
        <v>278</v>
      </c>
      <c r="C127" s="38">
        <v>191039</v>
      </c>
      <c r="D127" s="38" t="b">
        <v>0</v>
      </c>
      <c r="E127" s="38">
        <v>13</v>
      </c>
      <c r="F127" s="38" t="s">
        <v>253</v>
      </c>
      <c r="G127" s="38" t="s">
        <v>254</v>
      </c>
      <c r="H127" s="39">
        <v>45072</v>
      </c>
      <c r="I127" s="38">
        <v>23</v>
      </c>
      <c r="J127" s="38" t="s">
        <v>56</v>
      </c>
      <c r="K127" s="38" t="s">
        <v>57</v>
      </c>
      <c r="L127" s="38" t="s">
        <v>58</v>
      </c>
      <c r="M127" s="38">
        <v>0.66</v>
      </c>
      <c r="N127" s="38">
        <v>0.34300000000000003</v>
      </c>
      <c r="O127" s="38">
        <v>-14.132</v>
      </c>
      <c r="P127" s="38">
        <v>0.14000000000000001</v>
      </c>
      <c r="Q127" s="38">
        <v>0.56499999999999995</v>
      </c>
      <c r="R127" s="38">
        <v>1.34E-3</v>
      </c>
      <c r="S127" s="38">
        <v>9.2200000000000004E-2</v>
      </c>
      <c r="T127" s="38">
        <v>0.13700000000000001</v>
      </c>
    </row>
    <row r="128" spans="1:20" x14ac:dyDescent="0.15">
      <c r="A128" s="36" t="s">
        <v>279</v>
      </c>
      <c r="B128" s="37" t="s">
        <v>280</v>
      </c>
      <c r="C128" s="38">
        <v>240355</v>
      </c>
      <c r="D128" s="38" t="b">
        <v>0</v>
      </c>
      <c r="E128" s="38">
        <v>14</v>
      </c>
      <c r="F128" s="38" t="s">
        <v>253</v>
      </c>
      <c r="G128" s="38" t="s">
        <v>254</v>
      </c>
      <c r="H128" s="39">
        <v>45072</v>
      </c>
      <c r="I128" s="38">
        <v>23</v>
      </c>
      <c r="J128" s="38" t="s">
        <v>56</v>
      </c>
      <c r="K128" s="38" t="s">
        <v>57</v>
      </c>
      <c r="L128" s="38" t="s">
        <v>58</v>
      </c>
      <c r="M128" s="38">
        <v>0.56999999999999995</v>
      </c>
      <c r="N128" s="38">
        <v>0.747</v>
      </c>
      <c r="O128" s="38">
        <v>-8.93</v>
      </c>
      <c r="P128" s="38">
        <v>3.4200000000000001E-2</v>
      </c>
      <c r="Q128" s="38">
        <v>0.19900000000000001</v>
      </c>
      <c r="R128" s="38">
        <v>2.3200000000000001E-5</v>
      </c>
      <c r="S128" s="38">
        <v>8.5400000000000004E-2</v>
      </c>
      <c r="T128" s="38">
        <v>0.57399999999999995</v>
      </c>
    </row>
    <row r="129" spans="1:20" x14ac:dyDescent="0.15">
      <c r="A129" s="36" t="s">
        <v>281</v>
      </c>
      <c r="B129" s="37" t="s">
        <v>282</v>
      </c>
      <c r="C129" s="38">
        <v>218502</v>
      </c>
      <c r="D129" s="38" t="b">
        <v>0</v>
      </c>
      <c r="E129" s="38">
        <v>15</v>
      </c>
      <c r="F129" s="38" t="s">
        <v>253</v>
      </c>
      <c r="G129" s="38" t="s">
        <v>254</v>
      </c>
      <c r="H129" s="39">
        <v>45072</v>
      </c>
      <c r="I129" s="38">
        <v>23</v>
      </c>
      <c r="J129" s="38" t="s">
        <v>56</v>
      </c>
      <c r="K129" s="38" t="s">
        <v>57</v>
      </c>
      <c r="L129" s="38" t="s">
        <v>58</v>
      </c>
      <c r="M129" s="38">
        <v>0.42</v>
      </c>
      <c r="N129" s="38">
        <v>0.22</v>
      </c>
      <c r="O129" s="38">
        <v>-12.584</v>
      </c>
      <c r="P129" s="38">
        <v>4.7199999999999999E-2</v>
      </c>
      <c r="Q129" s="38">
        <v>0.84099999999999997</v>
      </c>
      <c r="R129" s="38">
        <v>1.31E-3</v>
      </c>
      <c r="S129" s="38">
        <v>0.114</v>
      </c>
      <c r="T129" s="38">
        <v>7.0499999999999993E-2</v>
      </c>
    </row>
    <row r="130" spans="1:20" x14ac:dyDescent="0.15">
      <c r="A130" s="36" t="s">
        <v>283</v>
      </c>
      <c r="B130" s="37" t="s">
        <v>284</v>
      </c>
      <c r="C130" s="38">
        <v>196258</v>
      </c>
      <c r="D130" s="38" t="b">
        <v>0</v>
      </c>
      <c r="E130" s="38">
        <v>16</v>
      </c>
      <c r="F130" s="38" t="s">
        <v>253</v>
      </c>
      <c r="G130" s="38" t="s">
        <v>254</v>
      </c>
      <c r="H130" s="39">
        <v>45072</v>
      </c>
      <c r="I130" s="38">
        <v>23</v>
      </c>
      <c r="J130" s="38" t="s">
        <v>56</v>
      </c>
      <c r="K130" s="38" t="s">
        <v>57</v>
      </c>
      <c r="L130" s="38" t="s">
        <v>58</v>
      </c>
      <c r="M130" s="38">
        <v>0.70299999999999996</v>
      </c>
      <c r="N130" s="38">
        <v>0.51800000000000002</v>
      </c>
      <c r="O130" s="38">
        <v>-10.500999999999999</v>
      </c>
      <c r="P130" s="38">
        <v>8.5000000000000006E-2</v>
      </c>
      <c r="Q130" s="38">
        <v>0.10299999999999999</v>
      </c>
      <c r="R130" s="38">
        <v>2.8900000000000001E-5</v>
      </c>
      <c r="S130" s="38">
        <v>0.14799999999999999</v>
      </c>
      <c r="T130" s="38">
        <v>0.34699999999999998</v>
      </c>
    </row>
    <row r="131" spans="1:20" x14ac:dyDescent="0.15">
      <c r="A131" s="36" t="s">
        <v>285</v>
      </c>
      <c r="B131" s="37" t="s">
        <v>286</v>
      </c>
      <c r="C131" s="38">
        <v>231475</v>
      </c>
      <c r="D131" s="38" t="b">
        <v>0</v>
      </c>
      <c r="E131" s="38">
        <v>17</v>
      </c>
      <c r="F131" s="38" t="s">
        <v>253</v>
      </c>
      <c r="G131" s="38" t="s">
        <v>254</v>
      </c>
      <c r="H131" s="39">
        <v>45072</v>
      </c>
      <c r="I131" s="38">
        <v>23</v>
      </c>
      <c r="J131" s="38" t="s">
        <v>56</v>
      </c>
      <c r="K131" s="38" t="s">
        <v>57</v>
      </c>
      <c r="L131" s="38" t="s">
        <v>58</v>
      </c>
      <c r="M131" s="38">
        <v>0.57099999999999995</v>
      </c>
      <c r="N131" s="38">
        <v>0.54700000000000004</v>
      </c>
      <c r="O131" s="38">
        <v>-10.141</v>
      </c>
      <c r="P131" s="38">
        <v>0.10100000000000001</v>
      </c>
      <c r="Q131" s="38">
        <v>0.70399999999999996</v>
      </c>
      <c r="R131" s="38">
        <v>0</v>
      </c>
      <c r="S131" s="38">
        <v>8.77E-2</v>
      </c>
      <c r="T131" s="38">
        <v>0.76800000000000002</v>
      </c>
    </row>
    <row r="132" spans="1:20" x14ac:dyDescent="0.15">
      <c r="A132" s="36" t="s">
        <v>287</v>
      </c>
      <c r="B132" s="37" t="s">
        <v>288</v>
      </c>
      <c r="C132" s="38">
        <v>148781</v>
      </c>
      <c r="D132" s="38" t="b">
        <v>0</v>
      </c>
      <c r="E132" s="38">
        <v>18</v>
      </c>
      <c r="F132" s="38" t="s">
        <v>253</v>
      </c>
      <c r="G132" s="38" t="s">
        <v>254</v>
      </c>
      <c r="H132" s="39">
        <v>45072</v>
      </c>
      <c r="I132" s="38">
        <v>23</v>
      </c>
      <c r="J132" s="38" t="s">
        <v>56</v>
      </c>
      <c r="K132" s="38" t="s">
        <v>57</v>
      </c>
      <c r="L132" s="38" t="s">
        <v>58</v>
      </c>
      <c r="M132" s="38">
        <v>0.67700000000000005</v>
      </c>
      <c r="N132" s="38">
        <v>0.47</v>
      </c>
      <c r="O132" s="38">
        <v>-9.65</v>
      </c>
      <c r="P132" s="38">
        <v>0.25900000000000001</v>
      </c>
      <c r="Q132" s="38">
        <v>0.314</v>
      </c>
      <c r="R132" s="38">
        <v>0</v>
      </c>
      <c r="S132" s="38">
        <v>0.11</v>
      </c>
      <c r="T132" s="38">
        <v>0.34699999999999998</v>
      </c>
    </row>
    <row r="133" spans="1:20" x14ac:dyDescent="0.15">
      <c r="A133" s="36" t="s">
        <v>289</v>
      </c>
      <c r="B133" s="37" t="s">
        <v>290</v>
      </c>
      <c r="C133" s="38">
        <v>260361</v>
      </c>
      <c r="D133" s="38" t="b">
        <v>0</v>
      </c>
      <c r="E133" s="38">
        <v>19</v>
      </c>
      <c r="F133" s="38" t="s">
        <v>253</v>
      </c>
      <c r="G133" s="38" t="s">
        <v>254</v>
      </c>
      <c r="H133" s="39">
        <v>45072</v>
      </c>
      <c r="I133" s="38">
        <v>23</v>
      </c>
      <c r="J133" s="38" t="s">
        <v>56</v>
      </c>
      <c r="K133" s="38" t="s">
        <v>57</v>
      </c>
      <c r="L133" s="38" t="s">
        <v>58</v>
      </c>
      <c r="M133" s="38">
        <v>0.48499999999999999</v>
      </c>
      <c r="N133" s="38">
        <v>0.84599999999999997</v>
      </c>
      <c r="O133" s="38">
        <v>-6.5570000000000004</v>
      </c>
      <c r="P133" s="38">
        <v>0.11700000000000001</v>
      </c>
      <c r="Q133" s="38">
        <v>0.39300000000000002</v>
      </c>
      <c r="R133" s="38">
        <v>1.15E-3</v>
      </c>
      <c r="S133" s="38">
        <v>0.124</v>
      </c>
      <c r="T133" s="38">
        <v>0.54800000000000004</v>
      </c>
    </row>
    <row r="134" spans="1:20" x14ac:dyDescent="0.15">
      <c r="A134" s="36" t="s">
        <v>291</v>
      </c>
      <c r="B134" s="37" t="s">
        <v>292</v>
      </c>
      <c r="C134" s="38">
        <v>225194</v>
      </c>
      <c r="D134" s="38" t="b">
        <v>0</v>
      </c>
      <c r="E134" s="38">
        <v>20</v>
      </c>
      <c r="F134" s="38" t="s">
        <v>253</v>
      </c>
      <c r="G134" s="38" t="s">
        <v>254</v>
      </c>
      <c r="H134" s="39">
        <v>45072</v>
      </c>
      <c r="I134" s="38">
        <v>23</v>
      </c>
      <c r="J134" s="38" t="s">
        <v>56</v>
      </c>
      <c r="K134" s="38" t="s">
        <v>57</v>
      </c>
      <c r="L134" s="38" t="s">
        <v>58</v>
      </c>
      <c r="M134" s="38">
        <v>0.67400000000000004</v>
      </c>
      <c r="N134" s="38">
        <v>0.39</v>
      </c>
      <c r="O134" s="38">
        <v>-11.944000000000001</v>
      </c>
      <c r="P134" s="38">
        <v>4.8300000000000003E-2</v>
      </c>
      <c r="Q134" s="38">
        <v>0.46400000000000002</v>
      </c>
      <c r="R134" s="38">
        <v>1.2199999999999999E-3</v>
      </c>
      <c r="S134" s="38">
        <v>0.11600000000000001</v>
      </c>
      <c r="T134" s="38">
        <v>0.151</v>
      </c>
    </row>
    <row r="135" spans="1:20" x14ac:dyDescent="0.15">
      <c r="A135" s="36" t="s">
        <v>293</v>
      </c>
      <c r="B135" s="37" t="s">
        <v>294</v>
      </c>
      <c r="C135" s="38">
        <v>234466</v>
      </c>
      <c r="D135" s="38" t="b">
        <v>1</v>
      </c>
      <c r="E135" s="38">
        <v>21</v>
      </c>
      <c r="F135" s="38" t="s">
        <v>253</v>
      </c>
      <c r="G135" s="38" t="s">
        <v>254</v>
      </c>
      <c r="H135" s="39">
        <v>45072</v>
      </c>
      <c r="I135" s="38">
        <v>23</v>
      </c>
      <c r="J135" s="38" t="s">
        <v>56</v>
      </c>
      <c r="K135" s="38" t="s">
        <v>57</v>
      </c>
      <c r="L135" s="38" t="s">
        <v>58</v>
      </c>
      <c r="M135" s="38">
        <v>0.66600000000000004</v>
      </c>
      <c r="N135" s="38">
        <v>0.78600000000000003</v>
      </c>
      <c r="O135" s="38">
        <v>-6.556</v>
      </c>
      <c r="P135" s="38">
        <v>4.3900000000000002E-2</v>
      </c>
      <c r="Q135" s="38">
        <v>0.13400000000000001</v>
      </c>
      <c r="R135" s="38">
        <v>3.3400000000000002E-6</v>
      </c>
      <c r="S135" s="38">
        <v>0.26500000000000001</v>
      </c>
      <c r="T135" s="38">
        <v>0.26100000000000001</v>
      </c>
    </row>
    <row r="136" spans="1:20" x14ac:dyDescent="0.15">
      <c r="A136" s="36" t="s">
        <v>295</v>
      </c>
      <c r="B136" s="37" t="s">
        <v>296</v>
      </c>
      <c r="C136" s="38">
        <v>229942</v>
      </c>
      <c r="D136" s="38" t="b">
        <v>1</v>
      </c>
      <c r="E136" s="38">
        <v>22</v>
      </c>
      <c r="F136" s="38" t="s">
        <v>253</v>
      </c>
      <c r="G136" s="38" t="s">
        <v>254</v>
      </c>
      <c r="H136" s="39">
        <v>45072</v>
      </c>
      <c r="I136" s="38">
        <v>23</v>
      </c>
      <c r="J136" s="38" t="s">
        <v>56</v>
      </c>
      <c r="K136" s="38" t="s">
        <v>57</v>
      </c>
      <c r="L136" s="38" t="s">
        <v>58</v>
      </c>
      <c r="M136" s="38">
        <v>0.66400000000000003</v>
      </c>
      <c r="N136" s="38">
        <v>0.39900000000000002</v>
      </c>
      <c r="O136" s="38">
        <v>-10.997</v>
      </c>
      <c r="P136" s="38">
        <v>3.49E-2</v>
      </c>
      <c r="Q136" s="38">
        <v>0.79700000000000004</v>
      </c>
      <c r="R136" s="38">
        <v>3.1300000000000001E-6</v>
      </c>
      <c r="S136" s="38">
        <v>0.105</v>
      </c>
      <c r="T136" s="38">
        <v>0.26500000000000001</v>
      </c>
    </row>
    <row r="137" spans="1:20" x14ac:dyDescent="0.15">
      <c r="A137" s="36" t="s">
        <v>297</v>
      </c>
      <c r="B137" s="37" t="s">
        <v>298</v>
      </c>
      <c r="C137" s="38">
        <v>201493</v>
      </c>
      <c r="D137" s="38" t="b">
        <v>1</v>
      </c>
      <c r="E137" s="38">
        <v>23</v>
      </c>
      <c r="F137" s="38" t="s">
        <v>253</v>
      </c>
      <c r="G137" s="38" t="s">
        <v>254</v>
      </c>
      <c r="H137" s="39">
        <v>45072</v>
      </c>
      <c r="I137" s="38">
        <v>23</v>
      </c>
      <c r="J137" s="38" t="s">
        <v>56</v>
      </c>
      <c r="K137" s="38" t="s">
        <v>57</v>
      </c>
      <c r="L137" s="38" t="s">
        <v>58</v>
      </c>
      <c r="M137" s="38">
        <v>0.61499999999999999</v>
      </c>
      <c r="N137" s="38">
        <v>0.626</v>
      </c>
      <c r="O137" s="38">
        <v>-6.548</v>
      </c>
      <c r="P137" s="38">
        <v>7.7799999999999994E-2</v>
      </c>
      <c r="Q137" s="38">
        <v>5.74E-2</v>
      </c>
      <c r="R137" s="38">
        <v>0</v>
      </c>
      <c r="S137" s="38">
        <v>0.59599999999999997</v>
      </c>
      <c r="T137" s="38">
        <v>7.0499999999999993E-2</v>
      </c>
    </row>
    <row r="138" spans="1:20" x14ac:dyDescent="0.15">
      <c r="A138" s="36" t="s">
        <v>251</v>
      </c>
      <c r="B138" s="37" t="s">
        <v>299</v>
      </c>
      <c r="C138" s="38">
        <v>202395</v>
      </c>
      <c r="D138" s="38" t="b">
        <v>1</v>
      </c>
      <c r="E138" s="38">
        <v>1</v>
      </c>
      <c r="F138" s="38" t="s">
        <v>300</v>
      </c>
      <c r="G138" s="38" t="s">
        <v>301</v>
      </c>
      <c r="H138" s="39">
        <v>44856</v>
      </c>
      <c r="I138" s="38">
        <v>20</v>
      </c>
      <c r="J138" s="38" t="s">
        <v>56</v>
      </c>
      <c r="K138" s="38" t="s">
        <v>57</v>
      </c>
      <c r="L138" s="38" t="s">
        <v>58</v>
      </c>
      <c r="M138" s="38">
        <v>0.73499999999999999</v>
      </c>
      <c r="N138" s="38">
        <v>0.44900000000000001</v>
      </c>
      <c r="O138" s="38">
        <v>-10.56</v>
      </c>
      <c r="P138" s="38">
        <v>8.8300000000000003E-2</v>
      </c>
      <c r="Q138" s="38">
        <v>0.23</v>
      </c>
      <c r="R138" s="38">
        <v>1.2600000000000001E-3</v>
      </c>
      <c r="S138" s="38">
        <v>0.13200000000000001</v>
      </c>
      <c r="T138" s="38">
        <v>9.5500000000000002E-2</v>
      </c>
    </row>
    <row r="139" spans="1:20" x14ac:dyDescent="0.15">
      <c r="A139" s="36" t="s">
        <v>255</v>
      </c>
      <c r="B139" s="37" t="s">
        <v>302</v>
      </c>
      <c r="C139" s="38">
        <v>218270</v>
      </c>
      <c r="D139" s="38" t="b">
        <v>1</v>
      </c>
      <c r="E139" s="38">
        <v>2</v>
      </c>
      <c r="F139" s="38" t="s">
        <v>300</v>
      </c>
      <c r="G139" s="38" t="s">
        <v>301</v>
      </c>
      <c r="H139" s="39">
        <v>44856</v>
      </c>
      <c r="I139" s="38">
        <v>20</v>
      </c>
      <c r="J139" s="38" t="s">
        <v>56</v>
      </c>
      <c r="K139" s="38" t="s">
        <v>57</v>
      </c>
      <c r="L139" s="38" t="s">
        <v>58</v>
      </c>
      <c r="M139" s="38">
        <v>0.65500000000000003</v>
      </c>
      <c r="N139" s="38">
        <v>0.38400000000000001</v>
      </c>
      <c r="O139" s="38">
        <v>-8.2899999999999991</v>
      </c>
      <c r="P139" s="38">
        <v>3.49E-2</v>
      </c>
      <c r="Q139" s="38">
        <v>6.3399999999999998E-2</v>
      </c>
      <c r="R139" s="38">
        <v>1.4500000000000001E-6</v>
      </c>
      <c r="S139" s="38">
        <v>9.7299999999999998E-2</v>
      </c>
      <c r="T139" s="38">
        <v>3.8399999999999997E-2</v>
      </c>
    </row>
    <row r="140" spans="1:20" x14ac:dyDescent="0.15">
      <c r="A140" s="36" t="s">
        <v>257</v>
      </c>
      <c r="B140" s="37" t="s">
        <v>303</v>
      </c>
      <c r="C140" s="38">
        <v>200690</v>
      </c>
      <c r="D140" s="38" t="b">
        <v>0</v>
      </c>
      <c r="E140" s="38">
        <v>3</v>
      </c>
      <c r="F140" s="38" t="s">
        <v>300</v>
      </c>
      <c r="G140" s="38" t="s">
        <v>301</v>
      </c>
      <c r="H140" s="39">
        <v>44856</v>
      </c>
      <c r="I140" s="38">
        <v>20</v>
      </c>
      <c r="J140" s="38" t="s">
        <v>56</v>
      </c>
      <c r="K140" s="38" t="s">
        <v>57</v>
      </c>
      <c r="L140" s="38" t="s">
        <v>58</v>
      </c>
      <c r="M140" s="38">
        <v>0.63300000000000001</v>
      </c>
      <c r="N140" s="38">
        <v>0.64800000000000002</v>
      </c>
      <c r="O140" s="38">
        <v>-6.6449999999999996</v>
      </c>
      <c r="P140" s="38">
        <v>6.2E-2</v>
      </c>
      <c r="Q140" s="38">
        <v>0.121</v>
      </c>
      <c r="R140" s="38">
        <v>2.6199999999999999E-6</v>
      </c>
      <c r="S140" s="38">
        <v>0.161</v>
      </c>
      <c r="T140" s="38">
        <v>0.49</v>
      </c>
    </row>
    <row r="141" spans="1:20" x14ac:dyDescent="0.15">
      <c r="A141" s="36" t="s">
        <v>259</v>
      </c>
      <c r="B141" s="37" t="s">
        <v>304</v>
      </c>
      <c r="C141" s="38">
        <v>256124</v>
      </c>
      <c r="D141" s="38" t="b">
        <v>1</v>
      </c>
      <c r="E141" s="38">
        <v>4</v>
      </c>
      <c r="F141" s="38" t="s">
        <v>300</v>
      </c>
      <c r="G141" s="38" t="s">
        <v>301</v>
      </c>
      <c r="H141" s="39">
        <v>44856</v>
      </c>
      <c r="I141" s="38">
        <v>20</v>
      </c>
      <c r="J141" s="38" t="s">
        <v>56</v>
      </c>
      <c r="K141" s="38" t="s">
        <v>57</v>
      </c>
      <c r="L141" s="38" t="s">
        <v>58</v>
      </c>
      <c r="M141" s="38">
        <v>0.66300000000000003</v>
      </c>
      <c r="N141" s="38">
        <v>0.32100000000000001</v>
      </c>
      <c r="O141" s="38">
        <v>-13.526999999999999</v>
      </c>
      <c r="P141" s="38">
        <v>4.0899999999999999E-2</v>
      </c>
      <c r="Q141" s="38">
        <v>0.70099999999999996</v>
      </c>
      <c r="R141" s="38">
        <v>5.9800000000000001E-4</v>
      </c>
      <c r="S141" s="38">
        <v>0.107</v>
      </c>
      <c r="T141" s="38">
        <v>0.153</v>
      </c>
    </row>
    <row r="142" spans="1:20" x14ac:dyDescent="0.15">
      <c r="A142" s="36" t="s">
        <v>261</v>
      </c>
      <c r="B142" s="37" t="s">
        <v>305</v>
      </c>
      <c r="C142" s="38">
        <v>194206</v>
      </c>
      <c r="D142" s="38" t="b">
        <v>0</v>
      </c>
      <c r="E142" s="38">
        <v>5</v>
      </c>
      <c r="F142" s="38" t="s">
        <v>300</v>
      </c>
      <c r="G142" s="38" t="s">
        <v>301</v>
      </c>
      <c r="H142" s="39">
        <v>44856</v>
      </c>
      <c r="I142" s="38">
        <v>20</v>
      </c>
      <c r="J142" s="38" t="s">
        <v>56</v>
      </c>
      <c r="K142" s="38" t="s">
        <v>57</v>
      </c>
      <c r="L142" s="38" t="s">
        <v>58</v>
      </c>
      <c r="M142" s="38">
        <v>0.69599999999999995</v>
      </c>
      <c r="N142" s="38">
        <v>0.39</v>
      </c>
      <c r="O142" s="38">
        <v>-10.331</v>
      </c>
      <c r="P142" s="38">
        <v>6.1600000000000002E-2</v>
      </c>
      <c r="Q142" s="38">
        <v>0.44700000000000001</v>
      </c>
      <c r="R142" s="38">
        <v>1.5500000000000001E-5</v>
      </c>
      <c r="S142" s="38">
        <v>0.125</v>
      </c>
      <c r="T142" s="38">
        <v>0.39500000000000002</v>
      </c>
    </row>
    <row r="143" spans="1:20" x14ac:dyDescent="0.15">
      <c r="A143" s="36" t="s">
        <v>263</v>
      </c>
      <c r="B143" s="37" t="s">
        <v>306</v>
      </c>
      <c r="C143" s="38">
        <v>174782</v>
      </c>
      <c r="D143" s="38" t="b">
        <v>0</v>
      </c>
      <c r="E143" s="38">
        <v>6</v>
      </c>
      <c r="F143" s="38" t="s">
        <v>300</v>
      </c>
      <c r="G143" s="38" t="s">
        <v>301</v>
      </c>
      <c r="H143" s="39">
        <v>44856</v>
      </c>
      <c r="I143" s="38">
        <v>20</v>
      </c>
      <c r="J143" s="38" t="s">
        <v>56</v>
      </c>
      <c r="K143" s="38" t="s">
        <v>57</v>
      </c>
      <c r="L143" s="38" t="s">
        <v>58</v>
      </c>
      <c r="M143" s="38">
        <v>0.60399999999999998</v>
      </c>
      <c r="N143" s="38">
        <v>0.375</v>
      </c>
      <c r="O143" s="38">
        <v>-11.637</v>
      </c>
      <c r="P143" s="38">
        <v>6.3299999999999995E-2</v>
      </c>
      <c r="Q143" s="38">
        <v>0.71</v>
      </c>
      <c r="R143" s="38">
        <v>5.8699999999999997E-5</v>
      </c>
      <c r="S143" s="38">
        <v>0.11600000000000001</v>
      </c>
      <c r="T143" s="38">
        <v>0.20300000000000001</v>
      </c>
    </row>
    <row r="144" spans="1:20" x14ac:dyDescent="0.15">
      <c r="A144" s="36" t="s">
        <v>265</v>
      </c>
      <c r="B144" s="37" t="s">
        <v>307</v>
      </c>
      <c r="C144" s="38">
        <v>210556</v>
      </c>
      <c r="D144" s="38" t="b">
        <v>1</v>
      </c>
      <c r="E144" s="38">
        <v>7</v>
      </c>
      <c r="F144" s="38" t="s">
        <v>300</v>
      </c>
      <c r="G144" s="38" t="s">
        <v>301</v>
      </c>
      <c r="H144" s="39">
        <v>44856</v>
      </c>
      <c r="I144" s="38">
        <v>20</v>
      </c>
      <c r="J144" s="38" t="s">
        <v>56</v>
      </c>
      <c r="K144" s="38" t="s">
        <v>57</v>
      </c>
      <c r="L144" s="38" t="s">
        <v>58</v>
      </c>
      <c r="M144" s="38">
        <v>0.65400000000000003</v>
      </c>
      <c r="N144" s="38">
        <v>0.51</v>
      </c>
      <c r="O144" s="38">
        <v>-8.7669999999999995</v>
      </c>
      <c r="P144" s="38">
        <v>0.24199999999999999</v>
      </c>
      <c r="Q144" s="38">
        <v>0.20599999999999999</v>
      </c>
      <c r="R144" s="38">
        <v>0</v>
      </c>
      <c r="S144" s="38">
        <v>0.249</v>
      </c>
      <c r="T144" s="38">
        <v>0.105</v>
      </c>
    </row>
    <row r="145" spans="1:20" x14ac:dyDescent="0.15">
      <c r="A145" s="36" t="s">
        <v>267</v>
      </c>
      <c r="B145" s="37" t="s">
        <v>308</v>
      </c>
      <c r="C145" s="38">
        <v>164801</v>
      </c>
      <c r="D145" s="38" t="b">
        <v>1</v>
      </c>
      <c r="E145" s="38">
        <v>8</v>
      </c>
      <c r="F145" s="38" t="s">
        <v>300</v>
      </c>
      <c r="G145" s="38" t="s">
        <v>301</v>
      </c>
      <c r="H145" s="39">
        <v>44856</v>
      </c>
      <c r="I145" s="38">
        <v>20</v>
      </c>
      <c r="J145" s="38" t="s">
        <v>56</v>
      </c>
      <c r="K145" s="38" t="s">
        <v>57</v>
      </c>
      <c r="L145" s="38" t="s">
        <v>58</v>
      </c>
      <c r="M145" s="38">
        <v>0.872</v>
      </c>
      <c r="N145" s="38">
        <v>0.26700000000000002</v>
      </c>
      <c r="O145" s="38">
        <v>-10.763999999999999</v>
      </c>
      <c r="P145" s="38">
        <v>0.38700000000000001</v>
      </c>
      <c r="Q145" s="38">
        <v>0.16600000000000001</v>
      </c>
      <c r="R145" s="38">
        <v>2.1800000000000001E-5</v>
      </c>
      <c r="S145" s="38">
        <v>0.123</v>
      </c>
      <c r="T145" s="38">
        <v>0.16800000000000001</v>
      </c>
    </row>
    <row r="146" spans="1:20" x14ac:dyDescent="0.15">
      <c r="A146" s="36" t="s">
        <v>269</v>
      </c>
      <c r="B146" s="37" t="s">
        <v>309</v>
      </c>
      <c r="C146" s="38">
        <v>194165</v>
      </c>
      <c r="D146" s="38" t="b">
        <v>0</v>
      </c>
      <c r="E146" s="38">
        <v>9</v>
      </c>
      <c r="F146" s="38" t="s">
        <v>300</v>
      </c>
      <c r="G146" s="38" t="s">
        <v>301</v>
      </c>
      <c r="H146" s="39">
        <v>44856</v>
      </c>
      <c r="I146" s="38">
        <v>20</v>
      </c>
      <c r="J146" s="38" t="s">
        <v>56</v>
      </c>
      <c r="K146" s="38" t="s">
        <v>57</v>
      </c>
      <c r="L146" s="38" t="s">
        <v>58</v>
      </c>
      <c r="M146" s="38">
        <v>0.68700000000000006</v>
      </c>
      <c r="N146" s="38">
        <v>0.55100000000000005</v>
      </c>
      <c r="O146" s="38">
        <v>-9.202</v>
      </c>
      <c r="P146" s="38">
        <v>7.8700000000000006E-2</v>
      </c>
      <c r="Q146" s="38">
        <v>5.9299999999999999E-2</v>
      </c>
      <c r="R146" s="38">
        <v>1.4300000000000001E-4</v>
      </c>
      <c r="S146" s="38">
        <v>0.09</v>
      </c>
      <c r="T146" s="38">
        <v>0.443</v>
      </c>
    </row>
    <row r="147" spans="1:20" x14ac:dyDescent="0.15">
      <c r="A147" s="36" t="s">
        <v>271</v>
      </c>
      <c r="B147" s="37" t="s">
        <v>310</v>
      </c>
      <c r="C147" s="38">
        <v>247962</v>
      </c>
      <c r="D147" s="38" t="b">
        <v>0</v>
      </c>
      <c r="E147" s="38">
        <v>10</v>
      </c>
      <c r="F147" s="38" t="s">
        <v>300</v>
      </c>
      <c r="G147" s="38" t="s">
        <v>301</v>
      </c>
      <c r="H147" s="39">
        <v>44856</v>
      </c>
      <c r="I147" s="38">
        <v>20</v>
      </c>
      <c r="J147" s="38" t="s">
        <v>56</v>
      </c>
      <c r="K147" s="38" t="s">
        <v>57</v>
      </c>
      <c r="L147" s="38" t="s">
        <v>58</v>
      </c>
      <c r="M147" s="38">
        <v>0.48</v>
      </c>
      <c r="N147" s="38">
        <v>0.29499999999999998</v>
      </c>
      <c r="O147" s="38">
        <v>-15.512</v>
      </c>
      <c r="P147" s="38">
        <v>3.8399999999999997E-2</v>
      </c>
      <c r="Q147" s="38">
        <v>0.79700000000000004</v>
      </c>
      <c r="R147" s="38">
        <v>0.33300000000000002</v>
      </c>
      <c r="S147" s="38">
        <v>0.12</v>
      </c>
      <c r="T147" s="38">
        <v>0.13200000000000001</v>
      </c>
    </row>
    <row r="148" spans="1:20" x14ac:dyDescent="0.15">
      <c r="A148" s="36" t="s">
        <v>273</v>
      </c>
      <c r="B148" s="37" t="s">
        <v>311</v>
      </c>
      <c r="C148" s="38">
        <v>204852</v>
      </c>
      <c r="D148" s="38" t="b">
        <v>1</v>
      </c>
      <c r="E148" s="38">
        <v>11</v>
      </c>
      <c r="F148" s="38" t="s">
        <v>300</v>
      </c>
      <c r="G148" s="38" t="s">
        <v>301</v>
      </c>
      <c r="H148" s="39">
        <v>44856</v>
      </c>
      <c r="I148" s="38">
        <v>20</v>
      </c>
      <c r="J148" s="38" t="s">
        <v>56</v>
      </c>
      <c r="K148" s="38" t="s">
        <v>57</v>
      </c>
      <c r="L148" s="38" t="s">
        <v>58</v>
      </c>
      <c r="M148" s="38">
        <v>0.64</v>
      </c>
      <c r="N148" s="38">
        <v>0.61899999999999999</v>
      </c>
      <c r="O148" s="38">
        <v>-7.1079999999999997</v>
      </c>
      <c r="P148" s="38">
        <v>6.5000000000000002E-2</v>
      </c>
      <c r="Q148" s="38">
        <v>6.2E-2</v>
      </c>
      <c r="R148" s="38">
        <v>0</v>
      </c>
      <c r="S148" s="38">
        <v>0.47499999999999998</v>
      </c>
      <c r="T148" s="38">
        <v>0.121</v>
      </c>
    </row>
    <row r="149" spans="1:20" x14ac:dyDescent="0.15">
      <c r="A149" s="36" t="s">
        <v>275</v>
      </c>
      <c r="B149" s="37" t="s">
        <v>312</v>
      </c>
      <c r="C149" s="38">
        <v>188496</v>
      </c>
      <c r="D149" s="38" t="b">
        <v>0</v>
      </c>
      <c r="E149" s="38">
        <v>12</v>
      </c>
      <c r="F149" s="38" t="s">
        <v>300</v>
      </c>
      <c r="G149" s="38" t="s">
        <v>301</v>
      </c>
      <c r="H149" s="39">
        <v>44856</v>
      </c>
      <c r="I149" s="38">
        <v>20</v>
      </c>
      <c r="J149" s="38" t="s">
        <v>56</v>
      </c>
      <c r="K149" s="38" t="s">
        <v>57</v>
      </c>
      <c r="L149" s="38" t="s">
        <v>58</v>
      </c>
      <c r="M149" s="38">
        <v>0.33600000000000002</v>
      </c>
      <c r="N149" s="38">
        <v>0.161</v>
      </c>
      <c r="O149" s="38">
        <v>-14.973000000000001</v>
      </c>
      <c r="P149" s="38">
        <v>4.5600000000000002E-2</v>
      </c>
      <c r="Q149" s="38">
        <v>0.96799999999999997</v>
      </c>
      <c r="R149" s="38">
        <v>1.1E-4</v>
      </c>
      <c r="S149" s="38">
        <v>0.115</v>
      </c>
      <c r="T149" s="38">
        <v>0.40699999999999997</v>
      </c>
    </row>
    <row r="150" spans="1:20" x14ac:dyDescent="0.15">
      <c r="A150" s="36" t="s">
        <v>277</v>
      </c>
      <c r="B150" s="37" t="s">
        <v>313</v>
      </c>
      <c r="C150" s="38">
        <v>191039</v>
      </c>
      <c r="D150" s="38" t="b">
        <v>0</v>
      </c>
      <c r="E150" s="38">
        <v>13</v>
      </c>
      <c r="F150" s="38" t="s">
        <v>300</v>
      </c>
      <c r="G150" s="38" t="s">
        <v>301</v>
      </c>
      <c r="H150" s="39">
        <v>44856</v>
      </c>
      <c r="I150" s="38">
        <v>20</v>
      </c>
      <c r="J150" s="38" t="s">
        <v>56</v>
      </c>
      <c r="K150" s="38" t="s">
        <v>57</v>
      </c>
      <c r="L150" s="38" t="s">
        <v>58</v>
      </c>
      <c r="M150" s="38">
        <v>0.66</v>
      </c>
      <c r="N150" s="38">
        <v>0.34300000000000003</v>
      </c>
      <c r="O150" s="38">
        <v>-14.132</v>
      </c>
      <c r="P150" s="38">
        <v>0.14000000000000001</v>
      </c>
      <c r="Q150" s="38">
        <v>0.56499999999999995</v>
      </c>
      <c r="R150" s="38">
        <v>1.34E-3</v>
      </c>
      <c r="S150" s="38">
        <v>9.2200000000000004E-2</v>
      </c>
      <c r="T150" s="38">
        <v>0.13700000000000001</v>
      </c>
    </row>
    <row r="151" spans="1:20" x14ac:dyDescent="0.15">
      <c r="A151" s="36" t="s">
        <v>279</v>
      </c>
      <c r="B151" s="37" t="s">
        <v>314</v>
      </c>
      <c r="C151" s="38">
        <v>240355</v>
      </c>
      <c r="D151" s="38" t="b">
        <v>0</v>
      </c>
      <c r="E151" s="38">
        <v>14</v>
      </c>
      <c r="F151" s="38" t="s">
        <v>300</v>
      </c>
      <c r="G151" s="38" t="s">
        <v>301</v>
      </c>
      <c r="H151" s="39">
        <v>44856</v>
      </c>
      <c r="I151" s="38">
        <v>20</v>
      </c>
      <c r="J151" s="38" t="s">
        <v>56</v>
      </c>
      <c r="K151" s="38" t="s">
        <v>57</v>
      </c>
      <c r="L151" s="38" t="s">
        <v>58</v>
      </c>
      <c r="M151" s="38">
        <v>0.56999999999999995</v>
      </c>
      <c r="N151" s="38">
        <v>0.747</v>
      </c>
      <c r="O151" s="38">
        <v>-8.93</v>
      </c>
      <c r="P151" s="38">
        <v>3.4200000000000001E-2</v>
      </c>
      <c r="Q151" s="38">
        <v>0.19900000000000001</v>
      </c>
      <c r="R151" s="38">
        <v>2.3200000000000001E-5</v>
      </c>
      <c r="S151" s="38">
        <v>8.5400000000000004E-2</v>
      </c>
      <c r="T151" s="38">
        <v>0.57399999999999995</v>
      </c>
    </row>
    <row r="152" spans="1:20" x14ac:dyDescent="0.15">
      <c r="A152" s="36" t="s">
        <v>281</v>
      </c>
      <c r="B152" s="37" t="s">
        <v>315</v>
      </c>
      <c r="C152" s="38">
        <v>218502</v>
      </c>
      <c r="D152" s="38" t="b">
        <v>0</v>
      </c>
      <c r="E152" s="38">
        <v>15</v>
      </c>
      <c r="F152" s="38" t="s">
        <v>300</v>
      </c>
      <c r="G152" s="38" t="s">
        <v>301</v>
      </c>
      <c r="H152" s="39">
        <v>44856</v>
      </c>
      <c r="I152" s="38">
        <v>20</v>
      </c>
      <c r="J152" s="38" t="s">
        <v>56</v>
      </c>
      <c r="K152" s="38" t="s">
        <v>57</v>
      </c>
      <c r="L152" s="38" t="s">
        <v>58</v>
      </c>
      <c r="M152" s="38">
        <v>0.42</v>
      </c>
      <c r="N152" s="38">
        <v>0.22</v>
      </c>
      <c r="O152" s="38">
        <v>-12.584</v>
      </c>
      <c r="P152" s="38">
        <v>4.7199999999999999E-2</v>
      </c>
      <c r="Q152" s="38">
        <v>0.84099999999999997</v>
      </c>
      <c r="R152" s="38">
        <v>1.31E-3</v>
      </c>
      <c r="S152" s="38">
        <v>0.114</v>
      </c>
      <c r="T152" s="38">
        <v>7.0499999999999993E-2</v>
      </c>
    </row>
    <row r="153" spans="1:20" x14ac:dyDescent="0.15">
      <c r="A153" s="36" t="s">
        <v>283</v>
      </c>
      <c r="B153" s="37" t="s">
        <v>316</v>
      </c>
      <c r="C153" s="38">
        <v>196258</v>
      </c>
      <c r="D153" s="38" t="b">
        <v>0</v>
      </c>
      <c r="E153" s="38">
        <v>16</v>
      </c>
      <c r="F153" s="38" t="s">
        <v>300</v>
      </c>
      <c r="G153" s="38" t="s">
        <v>301</v>
      </c>
      <c r="H153" s="39">
        <v>44856</v>
      </c>
      <c r="I153" s="38">
        <v>20</v>
      </c>
      <c r="J153" s="38" t="s">
        <v>56</v>
      </c>
      <c r="K153" s="38" t="s">
        <v>57</v>
      </c>
      <c r="L153" s="38" t="s">
        <v>58</v>
      </c>
      <c r="M153" s="38">
        <v>0.70299999999999996</v>
      </c>
      <c r="N153" s="38">
        <v>0.51800000000000002</v>
      </c>
      <c r="O153" s="38">
        <v>-10.500999999999999</v>
      </c>
      <c r="P153" s="38">
        <v>8.5000000000000006E-2</v>
      </c>
      <c r="Q153" s="38">
        <v>0.10299999999999999</v>
      </c>
      <c r="R153" s="38">
        <v>2.8900000000000001E-5</v>
      </c>
      <c r="S153" s="38">
        <v>0.14799999999999999</v>
      </c>
      <c r="T153" s="38">
        <v>0.34699999999999998</v>
      </c>
    </row>
    <row r="154" spans="1:20" x14ac:dyDescent="0.15">
      <c r="A154" s="36" t="s">
        <v>285</v>
      </c>
      <c r="B154" s="37" t="s">
        <v>317</v>
      </c>
      <c r="C154" s="38">
        <v>231475</v>
      </c>
      <c r="D154" s="38" t="b">
        <v>0</v>
      </c>
      <c r="E154" s="38">
        <v>17</v>
      </c>
      <c r="F154" s="38" t="s">
        <v>300</v>
      </c>
      <c r="G154" s="38" t="s">
        <v>301</v>
      </c>
      <c r="H154" s="39">
        <v>44856</v>
      </c>
      <c r="I154" s="38">
        <v>20</v>
      </c>
      <c r="J154" s="38" t="s">
        <v>56</v>
      </c>
      <c r="K154" s="38" t="s">
        <v>57</v>
      </c>
      <c r="L154" s="38" t="s">
        <v>58</v>
      </c>
      <c r="M154" s="38">
        <v>0.57099999999999995</v>
      </c>
      <c r="N154" s="38">
        <v>0.54700000000000004</v>
      </c>
      <c r="O154" s="38">
        <v>-10.141</v>
      </c>
      <c r="P154" s="38">
        <v>0.10100000000000001</v>
      </c>
      <c r="Q154" s="38">
        <v>0.70399999999999996</v>
      </c>
      <c r="R154" s="38">
        <v>0</v>
      </c>
      <c r="S154" s="38">
        <v>8.77E-2</v>
      </c>
      <c r="T154" s="38">
        <v>0.76800000000000002</v>
      </c>
    </row>
    <row r="155" spans="1:20" x14ac:dyDescent="0.15">
      <c r="A155" s="36" t="s">
        <v>287</v>
      </c>
      <c r="B155" s="37" t="s">
        <v>318</v>
      </c>
      <c r="C155" s="38">
        <v>148781</v>
      </c>
      <c r="D155" s="38" t="b">
        <v>0</v>
      </c>
      <c r="E155" s="38">
        <v>18</v>
      </c>
      <c r="F155" s="38" t="s">
        <v>300</v>
      </c>
      <c r="G155" s="38" t="s">
        <v>301</v>
      </c>
      <c r="H155" s="39">
        <v>44856</v>
      </c>
      <c r="I155" s="38">
        <v>20</v>
      </c>
      <c r="J155" s="38" t="s">
        <v>56</v>
      </c>
      <c r="K155" s="38" t="s">
        <v>57</v>
      </c>
      <c r="L155" s="38" t="s">
        <v>58</v>
      </c>
      <c r="M155" s="38">
        <v>0.67700000000000005</v>
      </c>
      <c r="N155" s="38">
        <v>0.47</v>
      </c>
      <c r="O155" s="38">
        <v>-9.65</v>
      </c>
      <c r="P155" s="38">
        <v>0.25900000000000001</v>
      </c>
      <c r="Q155" s="38">
        <v>0.314</v>
      </c>
      <c r="R155" s="38">
        <v>0</v>
      </c>
      <c r="S155" s="38">
        <v>0.11</v>
      </c>
      <c r="T155" s="38">
        <v>0.34699999999999998</v>
      </c>
    </row>
    <row r="156" spans="1:20" x14ac:dyDescent="0.15">
      <c r="A156" s="36" t="s">
        <v>289</v>
      </c>
      <c r="B156" s="37" t="s">
        <v>319</v>
      </c>
      <c r="C156" s="38">
        <v>260361</v>
      </c>
      <c r="D156" s="38" t="b">
        <v>0</v>
      </c>
      <c r="E156" s="38">
        <v>19</v>
      </c>
      <c r="F156" s="38" t="s">
        <v>300</v>
      </c>
      <c r="G156" s="38" t="s">
        <v>301</v>
      </c>
      <c r="H156" s="39">
        <v>44856</v>
      </c>
      <c r="I156" s="38">
        <v>20</v>
      </c>
      <c r="J156" s="38" t="s">
        <v>56</v>
      </c>
      <c r="K156" s="38" t="s">
        <v>57</v>
      </c>
      <c r="L156" s="38" t="s">
        <v>58</v>
      </c>
      <c r="M156" s="38">
        <v>0.48499999999999999</v>
      </c>
      <c r="N156" s="38">
        <v>0.84599999999999997</v>
      </c>
      <c r="O156" s="38">
        <v>-6.5570000000000004</v>
      </c>
      <c r="P156" s="38">
        <v>0.11700000000000001</v>
      </c>
      <c r="Q156" s="38">
        <v>0.39300000000000002</v>
      </c>
      <c r="R156" s="38">
        <v>1.15E-3</v>
      </c>
      <c r="S156" s="38">
        <v>0.124</v>
      </c>
      <c r="T156" s="38">
        <v>0.54800000000000004</v>
      </c>
    </row>
    <row r="157" spans="1:20" x14ac:dyDescent="0.15">
      <c r="A157" s="36" t="s">
        <v>291</v>
      </c>
      <c r="B157" s="37" t="s">
        <v>320</v>
      </c>
      <c r="C157" s="38">
        <v>225194</v>
      </c>
      <c r="D157" s="38" t="b">
        <v>0</v>
      </c>
      <c r="E157" s="38">
        <v>20</v>
      </c>
      <c r="F157" s="38" t="s">
        <v>300</v>
      </c>
      <c r="G157" s="38" t="s">
        <v>301</v>
      </c>
      <c r="H157" s="39">
        <v>44856</v>
      </c>
      <c r="I157" s="38">
        <v>20</v>
      </c>
      <c r="J157" s="38" t="s">
        <v>56</v>
      </c>
      <c r="K157" s="38" t="s">
        <v>57</v>
      </c>
      <c r="L157" s="38" t="s">
        <v>58</v>
      </c>
      <c r="M157" s="38">
        <v>0.67400000000000004</v>
      </c>
      <c r="N157" s="38">
        <v>0.39</v>
      </c>
      <c r="O157" s="38">
        <v>-11.944000000000001</v>
      </c>
      <c r="P157" s="38">
        <v>4.8300000000000003E-2</v>
      </c>
      <c r="Q157" s="38">
        <v>0.46400000000000002</v>
      </c>
      <c r="R157" s="38">
        <v>1.2199999999999999E-3</v>
      </c>
      <c r="S157" s="38">
        <v>0.11600000000000001</v>
      </c>
      <c r="T157" s="38">
        <v>0.151</v>
      </c>
    </row>
    <row r="158" spans="1:20" x14ac:dyDescent="0.15">
      <c r="A158" s="36" t="s">
        <v>251</v>
      </c>
      <c r="B158" s="37" t="s">
        <v>321</v>
      </c>
      <c r="C158" s="38">
        <v>202395</v>
      </c>
      <c r="D158" s="38" t="b">
        <v>1</v>
      </c>
      <c r="E158" s="38">
        <v>1</v>
      </c>
      <c r="F158" s="38" t="s">
        <v>322</v>
      </c>
      <c r="G158" s="38" t="s">
        <v>323</v>
      </c>
      <c r="H158" s="39">
        <v>44855</v>
      </c>
      <c r="I158" s="38">
        <v>13</v>
      </c>
      <c r="J158" s="38" t="s">
        <v>56</v>
      </c>
      <c r="K158" s="38" t="s">
        <v>57</v>
      </c>
      <c r="L158" s="38" t="s">
        <v>58</v>
      </c>
      <c r="M158" s="38">
        <v>0.73499999999999999</v>
      </c>
      <c r="N158" s="38">
        <v>0.44900000000000001</v>
      </c>
      <c r="O158" s="38">
        <v>-10.56</v>
      </c>
      <c r="P158" s="38">
        <v>8.8300000000000003E-2</v>
      </c>
      <c r="Q158" s="38">
        <v>0.23</v>
      </c>
      <c r="R158" s="38">
        <v>1.2600000000000001E-3</v>
      </c>
      <c r="S158" s="38">
        <v>0.13200000000000001</v>
      </c>
      <c r="T158" s="38">
        <v>9.5500000000000002E-2</v>
      </c>
    </row>
    <row r="159" spans="1:20" x14ac:dyDescent="0.15">
      <c r="A159" s="36" t="s">
        <v>255</v>
      </c>
      <c r="B159" s="37" t="s">
        <v>324</v>
      </c>
      <c r="C159" s="38">
        <v>218270</v>
      </c>
      <c r="D159" s="38" t="b">
        <v>1</v>
      </c>
      <c r="E159" s="38">
        <v>2</v>
      </c>
      <c r="F159" s="38" t="s">
        <v>322</v>
      </c>
      <c r="G159" s="38" t="s">
        <v>323</v>
      </c>
      <c r="H159" s="39">
        <v>44855</v>
      </c>
      <c r="I159" s="38">
        <v>13</v>
      </c>
      <c r="J159" s="38" t="s">
        <v>56</v>
      </c>
      <c r="K159" s="38" t="s">
        <v>57</v>
      </c>
      <c r="L159" s="38" t="s">
        <v>58</v>
      </c>
      <c r="M159" s="38">
        <v>0.65500000000000003</v>
      </c>
      <c r="N159" s="38">
        <v>0.38400000000000001</v>
      </c>
      <c r="O159" s="38">
        <v>-8.2899999999999991</v>
      </c>
      <c r="P159" s="38">
        <v>3.49E-2</v>
      </c>
      <c r="Q159" s="38">
        <v>6.3399999999999998E-2</v>
      </c>
      <c r="R159" s="38">
        <v>1.4500000000000001E-6</v>
      </c>
      <c r="S159" s="38">
        <v>9.7299999999999998E-2</v>
      </c>
      <c r="T159" s="38">
        <v>3.8399999999999997E-2</v>
      </c>
    </row>
    <row r="160" spans="1:20" x14ac:dyDescent="0.15">
      <c r="A160" s="36" t="s">
        <v>257</v>
      </c>
      <c r="B160" s="37" t="s">
        <v>325</v>
      </c>
      <c r="C160" s="38">
        <v>200690</v>
      </c>
      <c r="D160" s="38" t="b">
        <v>0</v>
      </c>
      <c r="E160" s="38">
        <v>3</v>
      </c>
      <c r="F160" s="38" t="s">
        <v>322</v>
      </c>
      <c r="G160" s="38" t="s">
        <v>323</v>
      </c>
      <c r="H160" s="39">
        <v>44855</v>
      </c>
      <c r="I160" s="38">
        <v>13</v>
      </c>
      <c r="J160" s="38" t="s">
        <v>56</v>
      </c>
      <c r="K160" s="38" t="s">
        <v>57</v>
      </c>
      <c r="L160" s="38" t="s">
        <v>58</v>
      </c>
      <c r="M160" s="38">
        <v>0.63300000000000001</v>
      </c>
      <c r="N160" s="38">
        <v>0.64800000000000002</v>
      </c>
      <c r="O160" s="38">
        <v>-6.6449999999999996</v>
      </c>
      <c r="P160" s="38">
        <v>6.2E-2</v>
      </c>
      <c r="Q160" s="38">
        <v>0.121</v>
      </c>
      <c r="R160" s="38">
        <v>2.6199999999999999E-6</v>
      </c>
      <c r="S160" s="38">
        <v>0.161</v>
      </c>
      <c r="T160" s="38">
        <v>0.49</v>
      </c>
    </row>
    <row r="161" spans="1:20" x14ac:dyDescent="0.15">
      <c r="A161" s="36" t="s">
        <v>259</v>
      </c>
      <c r="B161" s="37" t="s">
        <v>326</v>
      </c>
      <c r="C161" s="38">
        <v>256124</v>
      </c>
      <c r="D161" s="38" t="b">
        <v>1</v>
      </c>
      <c r="E161" s="38">
        <v>4</v>
      </c>
      <c r="F161" s="38" t="s">
        <v>322</v>
      </c>
      <c r="G161" s="38" t="s">
        <v>323</v>
      </c>
      <c r="H161" s="39">
        <v>44855</v>
      </c>
      <c r="I161" s="38">
        <v>13</v>
      </c>
      <c r="J161" s="38" t="s">
        <v>56</v>
      </c>
      <c r="K161" s="38" t="s">
        <v>57</v>
      </c>
      <c r="L161" s="38" t="s">
        <v>58</v>
      </c>
      <c r="M161" s="38">
        <v>0.66300000000000003</v>
      </c>
      <c r="N161" s="38">
        <v>0.32100000000000001</v>
      </c>
      <c r="O161" s="38">
        <v>-13.526999999999999</v>
      </c>
      <c r="P161" s="38">
        <v>4.0899999999999999E-2</v>
      </c>
      <c r="Q161" s="38">
        <v>0.70099999999999996</v>
      </c>
      <c r="R161" s="38">
        <v>5.9800000000000001E-4</v>
      </c>
      <c r="S161" s="38">
        <v>0.107</v>
      </c>
      <c r="T161" s="38">
        <v>0.153</v>
      </c>
    </row>
    <row r="162" spans="1:20" x14ac:dyDescent="0.15">
      <c r="A162" s="36" t="s">
        <v>261</v>
      </c>
      <c r="B162" s="37" t="s">
        <v>327</v>
      </c>
      <c r="C162" s="38">
        <v>194206</v>
      </c>
      <c r="D162" s="38" t="b">
        <v>0</v>
      </c>
      <c r="E162" s="38">
        <v>5</v>
      </c>
      <c r="F162" s="38" t="s">
        <v>322</v>
      </c>
      <c r="G162" s="38" t="s">
        <v>323</v>
      </c>
      <c r="H162" s="39">
        <v>44855</v>
      </c>
      <c r="I162" s="38">
        <v>13</v>
      </c>
      <c r="J162" s="38" t="s">
        <v>56</v>
      </c>
      <c r="K162" s="38" t="s">
        <v>57</v>
      </c>
      <c r="L162" s="38" t="s">
        <v>58</v>
      </c>
      <c r="M162" s="38">
        <v>0.69599999999999995</v>
      </c>
      <c r="N162" s="38">
        <v>0.39</v>
      </c>
      <c r="O162" s="38">
        <v>-10.331</v>
      </c>
      <c r="P162" s="38">
        <v>6.1600000000000002E-2</v>
      </c>
      <c r="Q162" s="38">
        <v>0.44700000000000001</v>
      </c>
      <c r="R162" s="38">
        <v>1.5500000000000001E-5</v>
      </c>
      <c r="S162" s="38">
        <v>0.125</v>
      </c>
      <c r="T162" s="38">
        <v>0.39500000000000002</v>
      </c>
    </row>
    <row r="163" spans="1:20" x14ac:dyDescent="0.15">
      <c r="A163" s="36" t="s">
        <v>263</v>
      </c>
      <c r="B163" s="37" t="s">
        <v>328</v>
      </c>
      <c r="C163" s="38">
        <v>174782</v>
      </c>
      <c r="D163" s="38" t="b">
        <v>0</v>
      </c>
      <c r="E163" s="38">
        <v>6</v>
      </c>
      <c r="F163" s="38" t="s">
        <v>322</v>
      </c>
      <c r="G163" s="38" t="s">
        <v>323</v>
      </c>
      <c r="H163" s="39">
        <v>44855</v>
      </c>
      <c r="I163" s="38">
        <v>13</v>
      </c>
      <c r="J163" s="38" t="s">
        <v>56</v>
      </c>
      <c r="K163" s="38" t="s">
        <v>57</v>
      </c>
      <c r="L163" s="38" t="s">
        <v>58</v>
      </c>
      <c r="M163" s="38">
        <v>0.60399999999999998</v>
      </c>
      <c r="N163" s="38">
        <v>0.375</v>
      </c>
      <c r="O163" s="38">
        <v>-11.637</v>
      </c>
      <c r="P163" s="38">
        <v>6.3299999999999995E-2</v>
      </c>
      <c r="Q163" s="38">
        <v>0.71</v>
      </c>
      <c r="R163" s="38">
        <v>5.8699999999999997E-5</v>
      </c>
      <c r="S163" s="38">
        <v>0.11600000000000001</v>
      </c>
      <c r="T163" s="38">
        <v>0.20300000000000001</v>
      </c>
    </row>
    <row r="164" spans="1:20" x14ac:dyDescent="0.15">
      <c r="A164" s="36" t="s">
        <v>265</v>
      </c>
      <c r="B164" s="37" t="s">
        <v>329</v>
      </c>
      <c r="C164" s="38">
        <v>210556</v>
      </c>
      <c r="D164" s="38" t="b">
        <v>1</v>
      </c>
      <c r="E164" s="38">
        <v>7</v>
      </c>
      <c r="F164" s="38" t="s">
        <v>322</v>
      </c>
      <c r="G164" s="38" t="s">
        <v>323</v>
      </c>
      <c r="H164" s="39">
        <v>44855</v>
      </c>
      <c r="I164" s="38">
        <v>13</v>
      </c>
      <c r="J164" s="38" t="s">
        <v>56</v>
      </c>
      <c r="K164" s="38" t="s">
        <v>57</v>
      </c>
      <c r="L164" s="38" t="s">
        <v>58</v>
      </c>
      <c r="M164" s="38">
        <v>0.65400000000000003</v>
      </c>
      <c r="N164" s="38">
        <v>0.51</v>
      </c>
      <c r="O164" s="38">
        <v>-8.7669999999999995</v>
      </c>
      <c r="P164" s="38">
        <v>0.24199999999999999</v>
      </c>
      <c r="Q164" s="38">
        <v>0.20599999999999999</v>
      </c>
      <c r="R164" s="38">
        <v>0</v>
      </c>
      <c r="S164" s="38">
        <v>0.249</v>
      </c>
      <c r="T164" s="38">
        <v>0.105</v>
      </c>
    </row>
    <row r="165" spans="1:20" x14ac:dyDescent="0.15">
      <c r="A165" s="36" t="s">
        <v>267</v>
      </c>
      <c r="B165" s="37" t="s">
        <v>330</v>
      </c>
      <c r="C165" s="38">
        <v>164801</v>
      </c>
      <c r="D165" s="38" t="b">
        <v>1</v>
      </c>
      <c r="E165" s="38">
        <v>8</v>
      </c>
      <c r="F165" s="38" t="s">
        <v>322</v>
      </c>
      <c r="G165" s="38" t="s">
        <v>323</v>
      </c>
      <c r="H165" s="39">
        <v>44855</v>
      </c>
      <c r="I165" s="38">
        <v>13</v>
      </c>
      <c r="J165" s="38" t="s">
        <v>56</v>
      </c>
      <c r="K165" s="38" t="s">
        <v>57</v>
      </c>
      <c r="L165" s="38" t="s">
        <v>58</v>
      </c>
      <c r="M165" s="38">
        <v>0.872</v>
      </c>
      <c r="N165" s="38">
        <v>0.26700000000000002</v>
      </c>
      <c r="O165" s="38">
        <v>-10.763999999999999</v>
      </c>
      <c r="P165" s="38">
        <v>0.38700000000000001</v>
      </c>
      <c r="Q165" s="38">
        <v>0.16600000000000001</v>
      </c>
      <c r="R165" s="38">
        <v>2.1800000000000001E-5</v>
      </c>
      <c r="S165" s="38">
        <v>0.123</v>
      </c>
      <c r="T165" s="38">
        <v>0.16800000000000001</v>
      </c>
    </row>
    <row r="166" spans="1:20" x14ac:dyDescent="0.15">
      <c r="A166" s="36" t="s">
        <v>269</v>
      </c>
      <c r="B166" s="37" t="s">
        <v>331</v>
      </c>
      <c r="C166" s="38">
        <v>194165</v>
      </c>
      <c r="D166" s="38" t="b">
        <v>0</v>
      </c>
      <c r="E166" s="38">
        <v>9</v>
      </c>
      <c r="F166" s="38" t="s">
        <v>322</v>
      </c>
      <c r="G166" s="38" t="s">
        <v>323</v>
      </c>
      <c r="H166" s="39">
        <v>44855</v>
      </c>
      <c r="I166" s="38">
        <v>13</v>
      </c>
      <c r="J166" s="38" t="s">
        <v>56</v>
      </c>
      <c r="K166" s="38" t="s">
        <v>57</v>
      </c>
      <c r="L166" s="38" t="s">
        <v>58</v>
      </c>
      <c r="M166" s="38">
        <v>0.68700000000000006</v>
      </c>
      <c r="N166" s="38">
        <v>0.55100000000000005</v>
      </c>
      <c r="O166" s="38">
        <v>-9.202</v>
      </c>
      <c r="P166" s="38">
        <v>7.8700000000000006E-2</v>
      </c>
      <c r="Q166" s="38">
        <v>5.9299999999999999E-2</v>
      </c>
      <c r="R166" s="38">
        <v>1.4300000000000001E-4</v>
      </c>
      <c r="S166" s="38">
        <v>0.09</v>
      </c>
      <c r="T166" s="38">
        <v>0.443</v>
      </c>
    </row>
    <row r="167" spans="1:20" x14ac:dyDescent="0.15">
      <c r="A167" s="36" t="s">
        <v>271</v>
      </c>
      <c r="B167" s="37" t="s">
        <v>332</v>
      </c>
      <c r="C167" s="38">
        <v>247962</v>
      </c>
      <c r="D167" s="38" t="b">
        <v>0</v>
      </c>
      <c r="E167" s="38">
        <v>10</v>
      </c>
      <c r="F167" s="38" t="s">
        <v>322</v>
      </c>
      <c r="G167" s="38" t="s">
        <v>323</v>
      </c>
      <c r="H167" s="39">
        <v>44855</v>
      </c>
      <c r="I167" s="38">
        <v>13</v>
      </c>
      <c r="J167" s="38" t="s">
        <v>56</v>
      </c>
      <c r="K167" s="38" t="s">
        <v>57</v>
      </c>
      <c r="L167" s="38" t="s">
        <v>58</v>
      </c>
      <c r="M167" s="38">
        <v>0.48</v>
      </c>
      <c r="N167" s="38">
        <v>0.29499999999999998</v>
      </c>
      <c r="O167" s="38">
        <v>-15.512</v>
      </c>
      <c r="P167" s="38">
        <v>3.8399999999999997E-2</v>
      </c>
      <c r="Q167" s="38">
        <v>0.79700000000000004</v>
      </c>
      <c r="R167" s="38">
        <v>0.33300000000000002</v>
      </c>
      <c r="S167" s="38">
        <v>0.12</v>
      </c>
      <c r="T167" s="38">
        <v>0.13200000000000001</v>
      </c>
    </row>
    <row r="168" spans="1:20" x14ac:dyDescent="0.15">
      <c r="A168" s="36" t="s">
        <v>273</v>
      </c>
      <c r="B168" s="37" t="s">
        <v>333</v>
      </c>
      <c r="C168" s="38">
        <v>204852</v>
      </c>
      <c r="D168" s="38" t="b">
        <v>1</v>
      </c>
      <c r="E168" s="38">
        <v>11</v>
      </c>
      <c r="F168" s="38" t="s">
        <v>322</v>
      </c>
      <c r="G168" s="38" t="s">
        <v>323</v>
      </c>
      <c r="H168" s="39">
        <v>44855</v>
      </c>
      <c r="I168" s="38">
        <v>13</v>
      </c>
      <c r="J168" s="38" t="s">
        <v>56</v>
      </c>
      <c r="K168" s="38" t="s">
        <v>57</v>
      </c>
      <c r="L168" s="38" t="s">
        <v>58</v>
      </c>
      <c r="M168" s="38">
        <v>0.64</v>
      </c>
      <c r="N168" s="38">
        <v>0.61899999999999999</v>
      </c>
      <c r="O168" s="38">
        <v>-7.1079999999999997</v>
      </c>
      <c r="P168" s="38">
        <v>6.5000000000000002E-2</v>
      </c>
      <c r="Q168" s="38">
        <v>6.2E-2</v>
      </c>
      <c r="R168" s="38">
        <v>0</v>
      </c>
      <c r="S168" s="38">
        <v>0.47499999999999998</v>
      </c>
      <c r="T168" s="38">
        <v>0.121</v>
      </c>
    </row>
    <row r="169" spans="1:20" x14ac:dyDescent="0.15">
      <c r="A169" s="36" t="s">
        <v>275</v>
      </c>
      <c r="B169" s="37" t="s">
        <v>334</v>
      </c>
      <c r="C169" s="38">
        <v>188496</v>
      </c>
      <c r="D169" s="38" t="b">
        <v>0</v>
      </c>
      <c r="E169" s="38">
        <v>12</v>
      </c>
      <c r="F169" s="38" t="s">
        <v>322</v>
      </c>
      <c r="G169" s="38" t="s">
        <v>323</v>
      </c>
      <c r="H169" s="39">
        <v>44855</v>
      </c>
      <c r="I169" s="38">
        <v>13</v>
      </c>
      <c r="J169" s="38" t="s">
        <v>56</v>
      </c>
      <c r="K169" s="38" t="s">
        <v>57</v>
      </c>
      <c r="L169" s="38" t="s">
        <v>58</v>
      </c>
      <c r="M169" s="38">
        <v>0.33600000000000002</v>
      </c>
      <c r="N169" s="38">
        <v>0.161</v>
      </c>
      <c r="O169" s="38">
        <v>-14.973000000000001</v>
      </c>
      <c r="P169" s="38">
        <v>4.5600000000000002E-2</v>
      </c>
      <c r="Q169" s="38">
        <v>0.96799999999999997</v>
      </c>
      <c r="R169" s="38">
        <v>1.1E-4</v>
      </c>
      <c r="S169" s="38">
        <v>0.115</v>
      </c>
      <c r="T169" s="38">
        <v>0.40699999999999997</v>
      </c>
    </row>
    <row r="170" spans="1:20" x14ac:dyDescent="0.15">
      <c r="A170" s="36" t="s">
        <v>277</v>
      </c>
      <c r="B170" s="37" t="s">
        <v>335</v>
      </c>
      <c r="C170" s="38">
        <v>191039</v>
      </c>
      <c r="D170" s="38" t="b">
        <v>0</v>
      </c>
      <c r="E170" s="38">
        <v>13</v>
      </c>
      <c r="F170" s="38" t="s">
        <v>322</v>
      </c>
      <c r="G170" s="38" t="s">
        <v>323</v>
      </c>
      <c r="H170" s="39">
        <v>44855</v>
      </c>
      <c r="I170" s="38">
        <v>13</v>
      </c>
      <c r="J170" s="38" t="s">
        <v>56</v>
      </c>
      <c r="K170" s="38" t="s">
        <v>57</v>
      </c>
      <c r="L170" s="38" t="s">
        <v>58</v>
      </c>
      <c r="M170" s="38">
        <v>0.66</v>
      </c>
      <c r="N170" s="38">
        <v>0.34300000000000003</v>
      </c>
      <c r="O170" s="38">
        <v>-14.132</v>
      </c>
      <c r="P170" s="38">
        <v>0.14000000000000001</v>
      </c>
      <c r="Q170" s="38">
        <v>0.56499999999999995</v>
      </c>
      <c r="R170" s="38">
        <v>1.34E-3</v>
      </c>
      <c r="S170" s="38">
        <v>9.2200000000000004E-2</v>
      </c>
      <c r="T170" s="38">
        <v>0.13700000000000001</v>
      </c>
    </row>
    <row r="171" spans="1:20" x14ac:dyDescent="0.15">
      <c r="A171" s="36" t="s">
        <v>336</v>
      </c>
      <c r="B171" s="37" t="s">
        <v>337</v>
      </c>
      <c r="C171" s="38">
        <v>295413</v>
      </c>
      <c r="D171" s="38" t="b">
        <v>0</v>
      </c>
      <c r="E171" s="38">
        <v>1</v>
      </c>
      <c r="F171" s="38" t="s">
        <v>338</v>
      </c>
      <c r="G171" s="38" t="s">
        <v>339</v>
      </c>
      <c r="H171" s="39">
        <v>44512</v>
      </c>
      <c r="I171" s="38">
        <v>30</v>
      </c>
      <c r="J171" s="38" t="s">
        <v>56</v>
      </c>
      <c r="K171" s="38" t="s">
        <v>57</v>
      </c>
      <c r="L171" s="38" t="s">
        <v>58</v>
      </c>
      <c r="M171" s="38">
        <v>0.59399999999999997</v>
      </c>
      <c r="N171" s="38">
        <v>0.71299999999999997</v>
      </c>
      <c r="O171" s="38">
        <v>-5.3140000000000001</v>
      </c>
      <c r="P171" s="38">
        <v>5.0299999999999997E-2</v>
      </c>
      <c r="Q171" s="38">
        <v>3.28E-4</v>
      </c>
      <c r="R171" s="38">
        <v>0</v>
      </c>
      <c r="S171" s="38">
        <v>0.114</v>
      </c>
      <c r="T171" s="38">
        <v>0.32800000000000001</v>
      </c>
    </row>
    <row r="172" spans="1:20" x14ac:dyDescent="0.15">
      <c r="A172" s="36" t="s">
        <v>339</v>
      </c>
      <c r="B172" s="37" t="s">
        <v>340</v>
      </c>
      <c r="C172" s="38">
        <v>223093</v>
      </c>
      <c r="D172" s="38" t="b">
        <v>0</v>
      </c>
      <c r="E172" s="38">
        <v>2</v>
      </c>
      <c r="F172" s="38" t="s">
        <v>338</v>
      </c>
      <c r="G172" s="38" t="s">
        <v>339</v>
      </c>
      <c r="H172" s="39">
        <v>44512</v>
      </c>
      <c r="I172" s="38">
        <v>30</v>
      </c>
      <c r="J172" s="38" t="s">
        <v>56</v>
      </c>
      <c r="K172" s="38" t="s">
        <v>57</v>
      </c>
      <c r="L172" s="38" t="s">
        <v>58</v>
      </c>
      <c r="M172" s="38">
        <v>0.51600000000000001</v>
      </c>
      <c r="N172" s="38">
        <v>0.77700000000000002</v>
      </c>
      <c r="O172" s="38">
        <v>-4.9080000000000004</v>
      </c>
      <c r="P172" s="38">
        <v>3.7499999999999999E-2</v>
      </c>
      <c r="Q172" s="38">
        <v>1.08E-3</v>
      </c>
      <c r="R172" s="38">
        <v>1.6199999999999999E-6</v>
      </c>
      <c r="S172" s="38">
        <v>7.6100000000000001E-2</v>
      </c>
      <c r="T172" s="38">
        <v>0.40799999999999997</v>
      </c>
    </row>
    <row r="173" spans="1:20" x14ac:dyDescent="0.15">
      <c r="A173" s="36" t="s">
        <v>341</v>
      </c>
      <c r="B173" s="37" t="s">
        <v>342</v>
      </c>
      <c r="C173" s="38">
        <v>242720</v>
      </c>
      <c r="D173" s="38" t="b">
        <v>0</v>
      </c>
      <c r="E173" s="38">
        <v>3</v>
      </c>
      <c r="F173" s="38" t="s">
        <v>338</v>
      </c>
      <c r="G173" s="38" t="s">
        <v>339</v>
      </c>
      <c r="H173" s="39">
        <v>44512</v>
      </c>
      <c r="I173" s="38">
        <v>30</v>
      </c>
      <c r="J173" s="38" t="s">
        <v>56</v>
      </c>
      <c r="K173" s="38" t="s">
        <v>57</v>
      </c>
      <c r="L173" s="38" t="s">
        <v>58</v>
      </c>
      <c r="M173" s="38">
        <v>0.64500000000000002</v>
      </c>
      <c r="N173" s="38">
        <v>0.59299999999999997</v>
      </c>
      <c r="O173" s="38">
        <v>-6.5060000000000002</v>
      </c>
      <c r="P173" s="38">
        <v>2.8799999999999999E-2</v>
      </c>
      <c r="Q173" s="38">
        <v>3.44E-2</v>
      </c>
      <c r="R173" s="38">
        <v>1.27E-4</v>
      </c>
      <c r="S173" s="38">
        <v>0.13</v>
      </c>
      <c r="T173" s="38">
        <v>0.29899999999999999</v>
      </c>
    </row>
    <row r="174" spans="1:20" x14ac:dyDescent="0.15">
      <c r="A174" s="36" t="s">
        <v>343</v>
      </c>
      <c r="B174" s="37" t="s">
        <v>344</v>
      </c>
      <c r="C174" s="38">
        <v>219760</v>
      </c>
      <c r="D174" s="38" t="b">
        <v>0</v>
      </c>
      <c r="E174" s="38">
        <v>4</v>
      </c>
      <c r="F174" s="38" t="s">
        <v>338</v>
      </c>
      <c r="G174" s="38" t="s">
        <v>339</v>
      </c>
      <c r="H174" s="39">
        <v>44512</v>
      </c>
      <c r="I174" s="38">
        <v>30</v>
      </c>
      <c r="J174" s="38" t="s">
        <v>56</v>
      </c>
      <c r="K174" s="38" t="s">
        <v>57</v>
      </c>
      <c r="L174" s="38" t="s">
        <v>58</v>
      </c>
      <c r="M174" s="38">
        <v>0.58399999999999996</v>
      </c>
      <c r="N174" s="38">
        <v>0.55700000000000005</v>
      </c>
      <c r="O174" s="38">
        <v>-6.3710000000000004</v>
      </c>
      <c r="P174" s="38">
        <v>3.4200000000000001E-2</v>
      </c>
      <c r="Q174" s="38">
        <v>1.29E-2</v>
      </c>
      <c r="R174" s="38">
        <v>0</v>
      </c>
      <c r="S174" s="38">
        <v>5.7599999999999998E-2</v>
      </c>
      <c r="T174" s="38">
        <v>0.76700000000000002</v>
      </c>
    </row>
    <row r="175" spans="1:20" x14ac:dyDescent="0.15">
      <c r="A175" s="36" t="s">
        <v>345</v>
      </c>
      <c r="B175" s="37" t="s">
        <v>346</v>
      </c>
      <c r="C175" s="38">
        <v>329160</v>
      </c>
      <c r="D175" s="38" t="b">
        <v>0</v>
      </c>
      <c r="E175" s="38">
        <v>5</v>
      </c>
      <c r="F175" s="38" t="s">
        <v>338</v>
      </c>
      <c r="G175" s="38" t="s">
        <v>339</v>
      </c>
      <c r="H175" s="39">
        <v>44512</v>
      </c>
      <c r="I175" s="38">
        <v>30</v>
      </c>
      <c r="J175" s="38" t="s">
        <v>56</v>
      </c>
      <c r="K175" s="38" t="s">
        <v>57</v>
      </c>
      <c r="L175" s="38" t="s">
        <v>58</v>
      </c>
      <c r="M175" s="38">
        <v>0.44</v>
      </c>
      <c r="N175" s="38">
        <v>0.52800000000000002</v>
      </c>
      <c r="O175" s="38">
        <v>-7.8090000000000002</v>
      </c>
      <c r="P175" s="38">
        <v>3.1699999999999999E-2</v>
      </c>
      <c r="Q175" s="38">
        <v>1.7100000000000001E-2</v>
      </c>
      <c r="R175" s="38">
        <v>2.0300000000000001E-3</v>
      </c>
      <c r="S175" s="38">
        <v>0.23400000000000001</v>
      </c>
      <c r="T175" s="38">
        <v>0.13200000000000001</v>
      </c>
    </row>
    <row r="176" spans="1:20" x14ac:dyDescent="0.15">
      <c r="A176" s="36" t="s">
        <v>347</v>
      </c>
      <c r="B176" s="37" t="s">
        <v>348</v>
      </c>
      <c r="C176" s="38">
        <v>230960</v>
      </c>
      <c r="D176" s="38" t="b">
        <v>0</v>
      </c>
      <c r="E176" s="38">
        <v>6</v>
      </c>
      <c r="F176" s="38" t="s">
        <v>338</v>
      </c>
      <c r="G176" s="38" t="s">
        <v>339</v>
      </c>
      <c r="H176" s="39">
        <v>44512</v>
      </c>
      <c r="I176" s="38">
        <v>30</v>
      </c>
      <c r="J176" s="38" t="s">
        <v>56</v>
      </c>
      <c r="K176" s="38" t="s">
        <v>57</v>
      </c>
      <c r="L176" s="38" t="s">
        <v>58</v>
      </c>
      <c r="M176" s="38">
        <v>0.64200000000000002</v>
      </c>
      <c r="N176" s="38">
        <v>0.69499999999999995</v>
      </c>
      <c r="O176" s="38">
        <v>-5.62</v>
      </c>
      <c r="P176" s="38">
        <v>2.81E-2</v>
      </c>
      <c r="Q176" s="38">
        <v>4.4299999999999998E-4</v>
      </c>
      <c r="R176" s="38">
        <v>1.0200000000000001E-5</v>
      </c>
      <c r="S176" s="38">
        <v>7.5300000000000006E-2</v>
      </c>
      <c r="T176" s="38">
        <v>0.64200000000000002</v>
      </c>
    </row>
    <row r="177" spans="1:20" x14ac:dyDescent="0.15">
      <c r="A177" s="36" t="s">
        <v>349</v>
      </c>
      <c r="B177" s="37" t="s">
        <v>350</v>
      </c>
      <c r="C177" s="38">
        <v>244586</v>
      </c>
      <c r="D177" s="38" t="b">
        <v>0</v>
      </c>
      <c r="E177" s="38">
        <v>7</v>
      </c>
      <c r="F177" s="38" t="s">
        <v>338</v>
      </c>
      <c r="G177" s="38" t="s">
        <v>339</v>
      </c>
      <c r="H177" s="39">
        <v>44512</v>
      </c>
      <c r="I177" s="38">
        <v>30</v>
      </c>
      <c r="J177" s="38" t="s">
        <v>56</v>
      </c>
      <c r="K177" s="38" t="s">
        <v>57</v>
      </c>
      <c r="L177" s="38" t="s">
        <v>58</v>
      </c>
      <c r="M177" s="38">
        <v>0.51100000000000001</v>
      </c>
      <c r="N177" s="38">
        <v>0.55900000000000005</v>
      </c>
      <c r="O177" s="38">
        <v>-6.5869999999999997</v>
      </c>
      <c r="P177" s="38">
        <v>2.64E-2</v>
      </c>
      <c r="Q177" s="38">
        <v>1.67E-2</v>
      </c>
      <c r="R177" s="38">
        <v>0</v>
      </c>
      <c r="S177" s="38">
        <v>0.113</v>
      </c>
      <c r="T177" s="38">
        <v>0.248</v>
      </c>
    </row>
    <row r="178" spans="1:20" x14ac:dyDescent="0.15">
      <c r="A178" s="36" t="s">
        <v>351</v>
      </c>
      <c r="B178" s="37" t="s">
        <v>352</v>
      </c>
      <c r="C178" s="38">
        <v>193146</v>
      </c>
      <c r="D178" s="38" t="b">
        <v>0</v>
      </c>
      <c r="E178" s="38">
        <v>8</v>
      </c>
      <c r="F178" s="38" t="s">
        <v>338</v>
      </c>
      <c r="G178" s="38" t="s">
        <v>339</v>
      </c>
      <c r="H178" s="39">
        <v>44512</v>
      </c>
      <c r="I178" s="38">
        <v>30</v>
      </c>
      <c r="J178" s="38" t="s">
        <v>56</v>
      </c>
      <c r="K178" s="38" t="s">
        <v>57</v>
      </c>
      <c r="L178" s="38" t="s">
        <v>58</v>
      </c>
      <c r="M178" s="38">
        <v>0.56699999999999995</v>
      </c>
      <c r="N178" s="38">
        <v>0.68600000000000005</v>
      </c>
      <c r="O178" s="38">
        <v>-6.1390000000000002</v>
      </c>
      <c r="P178" s="38">
        <v>0.17499999999999999</v>
      </c>
      <c r="Q178" s="38">
        <v>3.1699999999999999E-2</v>
      </c>
      <c r="R178" s="38">
        <v>1.86E-6</v>
      </c>
      <c r="S178" s="38">
        <v>7.3200000000000001E-2</v>
      </c>
      <c r="T178" s="38">
        <v>0.71599999999999997</v>
      </c>
    </row>
    <row r="179" spans="1:20" x14ac:dyDescent="0.15">
      <c r="A179" s="36" t="s">
        <v>353</v>
      </c>
      <c r="B179" s="37" t="s">
        <v>354</v>
      </c>
      <c r="C179" s="38">
        <v>205786</v>
      </c>
      <c r="D179" s="38" t="b">
        <v>0</v>
      </c>
      <c r="E179" s="38">
        <v>9</v>
      </c>
      <c r="F179" s="38" t="s">
        <v>338</v>
      </c>
      <c r="G179" s="38" t="s">
        <v>339</v>
      </c>
      <c r="H179" s="39">
        <v>44512</v>
      </c>
      <c r="I179" s="38">
        <v>30</v>
      </c>
      <c r="J179" s="38" t="s">
        <v>56</v>
      </c>
      <c r="K179" s="38" t="s">
        <v>57</v>
      </c>
      <c r="L179" s="38" t="s">
        <v>58</v>
      </c>
      <c r="M179" s="38">
        <v>0.69299999999999995</v>
      </c>
      <c r="N179" s="38">
        <v>0.68100000000000005</v>
      </c>
      <c r="O179" s="38">
        <v>-7.0389999999999997</v>
      </c>
      <c r="P179" s="38">
        <v>2.5000000000000001E-2</v>
      </c>
      <c r="Q179" s="38">
        <v>8.48E-2</v>
      </c>
      <c r="R179" s="38">
        <v>0</v>
      </c>
      <c r="S179" s="38">
        <v>7.6799999999999993E-2</v>
      </c>
      <c r="T179" s="38">
        <v>0.66300000000000003</v>
      </c>
    </row>
    <row r="180" spans="1:20" x14ac:dyDescent="0.15">
      <c r="A180" s="36" t="s">
        <v>355</v>
      </c>
      <c r="B180" s="37" t="s">
        <v>356</v>
      </c>
      <c r="C180" s="38">
        <v>299080</v>
      </c>
      <c r="D180" s="38" t="b">
        <v>0</v>
      </c>
      <c r="E180" s="38">
        <v>10</v>
      </c>
      <c r="F180" s="38" t="s">
        <v>338</v>
      </c>
      <c r="G180" s="38" t="s">
        <v>339</v>
      </c>
      <c r="H180" s="39">
        <v>44512</v>
      </c>
      <c r="I180" s="38">
        <v>30</v>
      </c>
      <c r="J180" s="38" t="s">
        <v>56</v>
      </c>
      <c r="K180" s="38" t="s">
        <v>57</v>
      </c>
      <c r="L180" s="38" t="s">
        <v>58</v>
      </c>
      <c r="M180" s="38">
        <v>0.502</v>
      </c>
      <c r="N180" s="38">
        <v>0.53400000000000003</v>
      </c>
      <c r="O180" s="38">
        <v>-5.9539999999999997</v>
      </c>
      <c r="P180" s="38">
        <v>2.7799999999999998E-2</v>
      </c>
      <c r="Q180" s="38">
        <v>3.9899999999999998E-2</v>
      </c>
      <c r="R180" s="38">
        <v>0</v>
      </c>
      <c r="S180" s="38">
        <v>9.7699999999999995E-2</v>
      </c>
      <c r="T180" s="38">
        <v>0.155</v>
      </c>
    </row>
    <row r="181" spans="1:20" x14ac:dyDescent="0.15">
      <c r="A181" s="36" t="s">
        <v>357</v>
      </c>
      <c r="B181" s="37" t="s">
        <v>358</v>
      </c>
      <c r="C181" s="38">
        <v>202960</v>
      </c>
      <c r="D181" s="38" t="b">
        <v>0</v>
      </c>
      <c r="E181" s="38">
        <v>11</v>
      </c>
      <c r="F181" s="38" t="s">
        <v>338</v>
      </c>
      <c r="G181" s="38" t="s">
        <v>339</v>
      </c>
      <c r="H181" s="39">
        <v>44512</v>
      </c>
      <c r="I181" s="38">
        <v>30</v>
      </c>
      <c r="J181" s="38" t="s">
        <v>56</v>
      </c>
      <c r="K181" s="38" t="s">
        <v>57</v>
      </c>
      <c r="L181" s="38" t="s">
        <v>58</v>
      </c>
      <c r="M181" s="38">
        <v>0.622</v>
      </c>
      <c r="N181" s="38">
        <v>0.80900000000000005</v>
      </c>
      <c r="O181" s="38">
        <v>-5.6230000000000002</v>
      </c>
      <c r="P181" s="38">
        <v>6.3799999999999996E-2</v>
      </c>
      <c r="Q181" s="38">
        <v>2.8799999999999999E-2</v>
      </c>
      <c r="R181" s="38">
        <v>2.1800000000000001E-3</v>
      </c>
      <c r="S181" s="38">
        <v>0.109</v>
      </c>
      <c r="T181" s="38">
        <v>0.51100000000000001</v>
      </c>
    </row>
    <row r="182" spans="1:20" x14ac:dyDescent="0.15">
      <c r="A182" s="36" t="s">
        <v>359</v>
      </c>
      <c r="B182" s="37" t="s">
        <v>360</v>
      </c>
      <c r="C182" s="38">
        <v>284773</v>
      </c>
      <c r="D182" s="38" t="b">
        <v>0</v>
      </c>
      <c r="E182" s="38">
        <v>12</v>
      </c>
      <c r="F182" s="38" t="s">
        <v>338</v>
      </c>
      <c r="G182" s="38" t="s">
        <v>339</v>
      </c>
      <c r="H182" s="39">
        <v>44512</v>
      </c>
      <c r="I182" s="38">
        <v>30</v>
      </c>
      <c r="J182" s="38" t="s">
        <v>56</v>
      </c>
      <c r="K182" s="38" t="s">
        <v>57</v>
      </c>
      <c r="L182" s="38" t="s">
        <v>58</v>
      </c>
      <c r="M182" s="38">
        <v>0.60099999999999998</v>
      </c>
      <c r="N182" s="38">
        <v>0.40600000000000003</v>
      </c>
      <c r="O182" s="38">
        <v>-11.827</v>
      </c>
      <c r="P182" s="38">
        <v>2.75E-2</v>
      </c>
      <c r="Q182" s="38">
        <v>0.622</v>
      </c>
      <c r="R182" s="38">
        <v>9.1899999999999998E-5</v>
      </c>
      <c r="S182" s="38">
        <v>0.13300000000000001</v>
      </c>
      <c r="T182" s="38">
        <v>0.23200000000000001</v>
      </c>
    </row>
    <row r="183" spans="1:20" x14ac:dyDescent="0.15">
      <c r="A183" s="36" t="s">
        <v>361</v>
      </c>
      <c r="B183" s="37" t="s">
        <v>362</v>
      </c>
      <c r="C183" s="38">
        <v>240466</v>
      </c>
      <c r="D183" s="38" t="b">
        <v>0</v>
      </c>
      <c r="E183" s="38">
        <v>13</v>
      </c>
      <c r="F183" s="38" t="s">
        <v>338</v>
      </c>
      <c r="G183" s="38" t="s">
        <v>339</v>
      </c>
      <c r="H183" s="39">
        <v>44512</v>
      </c>
      <c r="I183" s="38">
        <v>30</v>
      </c>
      <c r="J183" s="38" t="s">
        <v>56</v>
      </c>
      <c r="K183" s="38" t="s">
        <v>57</v>
      </c>
      <c r="L183" s="38" t="s">
        <v>58</v>
      </c>
      <c r="M183" s="38">
        <v>0.68600000000000005</v>
      </c>
      <c r="N183" s="38">
        <v>0.57099999999999995</v>
      </c>
      <c r="O183" s="38">
        <v>-7.1379999999999999</v>
      </c>
      <c r="P183" s="38">
        <v>0.05</v>
      </c>
      <c r="Q183" s="38">
        <v>6.6000000000000003E-2</v>
      </c>
      <c r="R183" s="38">
        <v>0</v>
      </c>
      <c r="S183" s="38">
        <v>6.08E-2</v>
      </c>
      <c r="T183" s="38">
        <v>0.53800000000000003</v>
      </c>
    </row>
    <row r="184" spans="1:20" x14ac:dyDescent="0.15">
      <c r="A184" s="36" t="s">
        <v>363</v>
      </c>
      <c r="B184" s="37" t="s">
        <v>364</v>
      </c>
      <c r="C184" s="38">
        <v>245426</v>
      </c>
      <c r="D184" s="38" t="b">
        <v>0</v>
      </c>
      <c r="E184" s="38">
        <v>14</v>
      </c>
      <c r="F184" s="38" t="s">
        <v>338</v>
      </c>
      <c r="G184" s="38" t="s">
        <v>339</v>
      </c>
      <c r="H184" s="39">
        <v>44512</v>
      </c>
      <c r="I184" s="38">
        <v>30</v>
      </c>
      <c r="J184" s="38" t="s">
        <v>56</v>
      </c>
      <c r="K184" s="38" t="s">
        <v>57</v>
      </c>
      <c r="L184" s="38" t="s">
        <v>58</v>
      </c>
      <c r="M184" s="38">
        <v>0.498</v>
      </c>
      <c r="N184" s="38">
        <v>0.61</v>
      </c>
      <c r="O184" s="38">
        <v>-5.0979999999999999</v>
      </c>
      <c r="P184" s="38">
        <v>3.6299999999999999E-2</v>
      </c>
      <c r="Q184" s="38">
        <v>0.27100000000000002</v>
      </c>
      <c r="R184" s="38">
        <v>0</v>
      </c>
      <c r="S184" s="38">
        <v>0.223</v>
      </c>
      <c r="T184" s="38">
        <v>0.47399999999999998</v>
      </c>
    </row>
    <row r="185" spans="1:20" x14ac:dyDescent="0.15">
      <c r="A185" s="36" t="s">
        <v>365</v>
      </c>
      <c r="B185" s="37" t="s">
        <v>366</v>
      </c>
      <c r="C185" s="38">
        <v>220413</v>
      </c>
      <c r="D185" s="38" t="b">
        <v>0</v>
      </c>
      <c r="E185" s="38">
        <v>15</v>
      </c>
      <c r="F185" s="38" t="s">
        <v>338</v>
      </c>
      <c r="G185" s="38" t="s">
        <v>339</v>
      </c>
      <c r="H185" s="39">
        <v>44512</v>
      </c>
      <c r="I185" s="38">
        <v>30</v>
      </c>
      <c r="J185" s="38" t="s">
        <v>56</v>
      </c>
      <c r="K185" s="38" t="s">
        <v>57</v>
      </c>
      <c r="L185" s="38" t="s">
        <v>58</v>
      </c>
      <c r="M185" s="38">
        <v>0.628</v>
      </c>
      <c r="N185" s="38">
        <v>0.68500000000000005</v>
      </c>
      <c r="O185" s="38">
        <v>-5.8639999999999999</v>
      </c>
      <c r="P185" s="38">
        <v>3.5799999999999998E-2</v>
      </c>
      <c r="Q185" s="38">
        <v>3.2399999999999998E-3</v>
      </c>
      <c r="R185" s="38">
        <v>0</v>
      </c>
      <c r="S185" s="38">
        <v>0.18</v>
      </c>
      <c r="T185" s="38">
        <v>0.60499999999999998</v>
      </c>
    </row>
    <row r="186" spans="1:20" x14ac:dyDescent="0.15">
      <c r="A186" s="36" t="s">
        <v>367</v>
      </c>
      <c r="B186" s="37" t="s">
        <v>368</v>
      </c>
      <c r="C186" s="38">
        <v>238866</v>
      </c>
      <c r="D186" s="38" t="b">
        <v>0</v>
      </c>
      <c r="E186" s="38">
        <v>16</v>
      </c>
      <c r="F186" s="38" t="s">
        <v>338</v>
      </c>
      <c r="G186" s="38" t="s">
        <v>339</v>
      </c>
      <c r="H186" s="39">
        <v>44512</v>
      </c>
      <c r="I186" s="38">
        <v>30</v>
      </c>
      <c r="J186" s="38" t="s">
        <v>56</v>
      </c>
      <c r="K186" s="38" t="s">
        <v>57</v>
      </c>
      <c r="L186" s="38" t="s">
        <v>58</v>
      </c>
      <c r="M186" s="38">
        <v>0.51900000000000002</v>
      </c>
      <c r="N186" s="38">
        <v>0.52700000000000002</v>
      </c>
      <c r="O186" s="38">
        <v>-7.673</v>
      </c>
      <c r="P186" s="38">
        <v>2.7400000000000001E-2</v>
      </c>
      <c r="Q186" s="38">
        <v>7.4999999999999997E-2</v>
      </c>
      <c r="R186" s="38">
        <v>0</v>
      </c>
      <c r="S186" s="38">
        <v>0.13200000000000001</v>
      </c>
      <c r="T186" s="38">
        <v>0.26700000000000002</v>
      </c>
    </row>
    <row r="187" spans="1:20" x14ac:dyDescent="0.15">
      <c r="A187" s="36" t="s">
        <v>369</v>
      </c>
      <c r="B187" s="37" t="s">
        <v>370</v>
      </c>
      <c r="C187" s="38">
        <v>285280</v>
      </c>
      <c r="D187" s="38" t="b">
        <v>0</v>
      </c>
      <c r="E187" s="38">
        <v>17</v>
      </c>
      <c r="F187" s="38" t="s">
        <v>338</v>
      </c>
      <c r="G187" s="38" t="s">
        <v>339</v>
      </c>
      <c r="H187" s="39">
        <v>44512</v>
      </c>
      <c r="I187" s="38">
        <v>30</v>
      </c>
      <c r="J187" s="38" t="s">
        <v>56</v>
      </c>
      <c r="K187" s="38" t="s">
        <v>57</v>
      </c>
      <c r="L187" s="38" t="s">
        <v>58</v>
      </c>
      <c r="M187" s="38">
        <v>0.63600000000000001</v>
      </c>
      <c r="N187" s="38">
        <v>0.40200000000000002</v>
      </c>
      <c r="O187" s="38">
        <v>-7.8550000000000004</v>
      </c>
      <c r="P187" s="38">
        <v>3.1E-2</v>
      </c>
      <c r="Q187" s="38">
        <v>4.9399999999999999E-2</v>
      </c>
      <c r="R187" s="38">
        <v>0</v>
      </c>
      <c r="S187" s="38">
        <v>0.107</v>
      </c>
      <c r="T187" s="38">
        <v>0.20799999999999999</v>
      </c>
    </row>
    <row r="188" spans="1:20" x14ac:dyDescent="0.15">
      <c r="A188" s="36" t="s">
        <v>371</v>
      </c>
      <c r="B188" s="37" t="s">
        <v>372</v>
      </c>
      <c r="C188" s="38">
        <v>223333</v>
      </c>
      <c r="D188" s="38" t="b">
        <v>0</v>
      </c>
      <c r="E188" s="38">
        <v>18</v>
      </c>
      <c r="F188" s="38" t="s">
        <v>338</v>
      </c>
      <c r="G188" s="38" t="s">
        <v>339</v>
      </c>
      <c r="H188" s="39">
        <v>44512</v>
      </c>
      <c r="I188" s="38">
        <v>30</v>
      </c>
      <c r="J188" s="38" t="s">
        <v>56</v>
      </c>
      <c r="K188" s="38" t="s">
        <v>57</v>
      </c>
      <c r="L188" s="38" t="s">
        <v>58</v>
      </c>
      <c r="M188" s="38">
        <v>0.46</v>
      </c>
      <c r="N188" s="38">
        <v>0.63200000000000001</v>
      </c>
      <c r="O188" s="38">
        <v>-6.0309999999999997</v>
      </c>
      <c r="P188" s="38">
        <v>3.0200000000000001E-2</v>
      </c>
      <c r="Q188" s="38">
        <v>1.5800000000000002E-2</v>
      </c>
      <c r="R188" s="38">
        <v>0</v>
      </c>
      <c r="S188" s="38">
        <v>8.2199999999999995E-2</v>
      </c>
      <c r="T188" s="38">
        <v>0.39900000000000002</v>
      </c>
    </row>
    <row r="189" spans="1:20" x14ac:dyDescent="0.15">
      <c r="A189" s="36" t="s">
        <v>373</v>
      </c>
      <c r="B189" s="37" t="s">
        <v>374</v>
      </c>
      <c r="C189" s="38">
        <v>220520</v>
      </c>
      <c r="D189" s="38" t="b">
        <v>0</v>
      </c>
      <c r="E189" s="38">
        <v>19</v>
      </c>
      <c r="F189" s="38" t="s">
        <v>338</v>
      </c>
      <c r="G189" s="38" t="s">
        <v>339</v>
      </c>
      <c r="H189" s="39">
        <v>44512</v>
      </c>
      <c r="I189" s="38">
        <v>30</v>
      </c>
      <c r="J189" s="38" t="s">
        <v>56</v>
      </c>
      <c r="K189" s="38" t="s">
        <v>57</v>
      </c>
      <c r="L189" s="38" t="s">
        <v>58</v>
      </c>
      <c r="M189" s="38">
        <v>0.69099999999999995</v>
      </c>
      <c r="N189" s="38">
        <v>0.73599999999999999</v>
      </c>
      <c r="O189" s="38">
        <v>-6.9740000000000002</v>
      </c>
      <c r="P189" s="38">
        <v>3.2599999999999997E-2</v>
      </c>
      <c r="Q189" s="38">
        <v>9.5499999999999995E-3</v>
      </c>
      <c r="R189" s="38">
        <v>1.88E-5</v>
      </c>
      <c r="S189" s="38">
        <v>0.10100000000000001</v>
      </c>
      <c r="T189" s="38">
        <v>0.61199999999999999</v>
      </c>
    </row>
    <row r="190" spans="1:20" x14ac:dyDescent="0.15">
      <c r="A190" s="36" t="s">
        <v>375</v>
      </c>
      <c r="B190" s="37" t="s">
        <v>376</v>
      </c>
      <c r="C190" s="38">
        <v>321640</v>
      </c>
      <c r="D190" s="38" t="b">
        <v>0</v>
      </c>
      <c r="E190" s="38">
        <v>20</v>
      </c>
      <c r="F190" s="38" t="s">
        <v>338</v>
      </c>
      <c r="G190" s="38" t="s">
        <v>339</v>
      </c>
      <c r="H190" s="39">
        <v>44512</v>
      </c>
      <c r="I190" s="38">
        <v>30</v>
      </c>
      <c r="J190" s="38" t="s">
        <v>56</v>
      </c>
      <c r="K190" s="38" t="s">
        <v>57</v>
      </c>
      <c r="L190" s="38" t="s">
        <v>58</v>
      </c>
      <c r="M190" s="38">
        <v>0.44500000000000001</v>
      </c>
      <c r="N190" s="38">
        <v>0.13100000000000001</v>
      </c>
      <c r="O190" s="38">
        <v>-13.778</v>
      </c>
      <c r="P190" s="38">
        <v>5.6399999999999999E-2</v>
      </c>
      <c r="Q190" s="38">
        <v>0.66300000000000003</v>
      </c>
      <c r="R190" s="38">
        <v>1.57E-6</v>
      </c>
      <c r="S190" s="38">
        <v>0.108</v>
      </c>
      <c r="T190" s="38">
        <v>0.10100000000000001</v>
      </c>
    </row>
    <row r="191" spans="1:20" x14ac:dyDescent="0.15">
      <c r="A191" s="36" t="s">
        <v>377</v>
      </c>
      <c r="B191" s="37" t="s">
        <v>378</v>
      </c>
      <c r="C191" s="38">
        <v>264253</v>
      </c>
      <c r="D191" s="38" t="b">
        <v>0</v>
      </c>
      <c r="E191" s="38">
        <v>21</v>
      </c>
      <c r="F191" s="38" t="s">
        <v>338</v>
      </c>
      <c r="G191" s="38" t="s">
        <v>339</v>
      </c>
      <c r="H191" s="39">
        <v>44512</v>
      </c>
      <c r="I191" s="38">
        <v>30</v>
      </c>
      <c r="J191" s="38" t="s">
        <v>56</v>
      </c>
      <c r="K191" s="38" t="s">
        <v>57</v>
      </c>
      <c r="L191" s="38" t="s">
        <v>58</v>
      </c>
      <c r="M191" s="38">
        <v>0.623</v>
      </c>
      <c r="N191" s="38">
        <v>0.27900000000000003</v>
      </c>
      <c r="O191" s="38">
        <v>-10.802</v>
      </c>
      <c r="P191" s="38">
        <v>3.1E-2</v>
      </c>
      <c r="Q191" s="38">
        <v>0.66100000000000003</v>
      </c>
      <c r="R191" s="38">
        <v>0</v>
      </c>
      <c r="S191" s="38">
        <v>0.193</v>
      </c>
      <c r="T191" s="38">
        <v>0.38</v>
      </c>
    </row>
    <row r="192" spans="1:20" x14ac:dyDescent="0.15">
      <c r="A192" s="36" t="s">
        <v>379</v>
      </c>
      <c r="B192" s="37" t="s">
        <v>380</v>
      </c>
      <c r="C192" s="38">
        <v>297013</v>
      </c>
      <c r="D192" s="38" t="b">
        <v>0</v>
      </c>
      <c r="E192" s="38">
        <v>22</v>
      </c>
      <c r="F192" s="38" t="s">
        <v>338</v>
      </c>
      <c r="G192" s="38" t="s">
        <v>339</v>
      </c>
      <c r="H192" s="39">
        <v>44512</v>
      </c>
      <c r="I192" s="38">
        <v>30</v>
      </c>
      <c r="J192" s="38" t="s">
        <v>56</v>
      </c>
      <c r="K192" s="38" t="s">
        <v>57</v>
      </c>
      <c r="L192" s="38" t="s">
        <v>58</v>
      </c>
      <c r="M192" s="38">
        <v>0.47299999999999998</v>
      </c>
      <c r="N192" s="38">
        <v>0.57899999999999996</v>
      </c>
      <c r="O192" s="38">
        <v>-5.8239999999999998</v>
      </c>
      <c r="P192" s="38">
        <v>3.8399999999999997E-2</v>
      </c>
      <c r="Q192" s="38">
        <v>0.214</v>
      </c>
      <c r="R192" s="38">
        <v>0</v>
      </c>
      <c r="S192" s="38">
        <v>8.77E-2</v>
      </c>
      <c r="T192" s="38">
        <v>0.255</v>
      </c>
    </row>
    <row r="193" spans="1:20" x14ac:dyDescent="0.15">
      <c r="A193" s="36" t="s">
        <v>381</v>
      </c>
      <c r="B193" s="37" t="s">
        <v>382</v>
      </c>
      <c r="C193" s="38">
        <v>258812</v>
      </c>
      <c r="D193" s="38" t="b">
        <v>0</v>
      </c>
      <c r="E193" s="38">
        <v>23</v>
      </c>
      <c r="F193" s="38" t="s">
        <v>338</v>
      </c>
      <c r="G193" s="38" t="s">
        <v>339</v>
      </c>
      <c r="H193" s="39">
        <v>44512</v>
      </c>
      <c r="I193" s="38">
        <v>30</v>
      </c>
      <c r="J193" s="38" t="s">
        <v>56</v>
      </c>
      <c r="K193" s="38" t="s">
        <v>57</v>
      </c>
      <c r="L193" s="38" t="s">
        <v>58</v>
      </c>
      <c r="M193" s="38">
        <v>0.60599999999999998</v>
      </c>
      <c r="N193" s="38">
        <v>0.377</v>
      </c>
      <c r="O193" s="38">
        <v>-9.4550000000000001</v>
      </c>
      <c r="P193" s="38">
        <v>2.75E-2</v>
      </c>
      <c r="Q193" s="38">
        <v>0.81699999999999995</v>
      </c>
      <c r="R193" s="38">
        <v>0</v>
      </c>
      <c r="S193" s="38">
        <v>0.154</v>
      </c>
      <c r="T193" s="38">
        <v>0.44600000000000001</v>
      </c>
    </row>
    <row r="194" spans="1:20" x14ac:dyDescent="0.15">
      <c r="A194" s="36" t="s">
        <v>383</v>
      </c>
      <c r="B194" s="37" t="s">
        <v>384</v>
      </c>
      <c r="C194" s="38">
        <v>224240</v>
      </c>
      <c r="D194" s="38" t="b">
        <v>0</v>
      </c>
      <c r="E194" s="38">
        <v>24</v>
      </c>
      <c r="F194" s="38" t="s">
        <v>338</v>
      </c>
      <c r="G194" s="38" t="s">
        <v>339</v>
      </c>
      <c r="H194" s="39">
        <v>44512</v>
      </c>
      <c r="I194" s="38">
        <v>30</v>
      </c>
      <c r="J194" s="38" t="s">
        <v>56</v>
      </c>
      <c r="K194" s="38" t="s">
        <v>57</v>
      </c>
      <c r="L194" s="38" t="s">
        <v>58</v>
      </c>
      <c r="M194" s="38">
        <v>0.58399999999999996</v>
      </c>
      <c r="N194" s="38">
        <v>0.74299999999999999</v>
      </c>
      <c r="O194" s="38">
        <v>-7.0750000000000002</v>
      </c>
      <c r="P194" s="38">
        <v>9.3100000000000002E-2</v>
      </c>
      <c r="Q194" s="38">
        <v>5.3800000000000001E-2</v>
      </c>
      <c r="R194" s="38">
        <v>2.83E-6</v>
      </c>
      <c r="S194" s="38">
        <v>0.121</v>
      </c>
      <c r="T194" s="38">
        <v>0.746</v>
      </c>
    </row>
    <row r="195" spans="1:20" x14ac:dyDescent="0.15">
      <c r="A195" s="36" t="s">
        <v>385</v>
      </c>
      <c r="B195" s="37" t="s">
        <v>386</v>
      </c>
      <c r="C195" s="38">
        <v>225960</v>
      </c>
      <c r="D195" s="38" t="b">
        <v>0</v>
      </c>
      <c r="E195" s="38">
        <v>25</v>
      </c>
      <c r="F195" s="38" t="s">
        <v>338</v>
      </c>
      <c r="G195" s="38" t="s">
        <v>339</v>
      </c>
      <c r="H195" s="39">
        <v>44512</v>
      </c>
      <c r="I195" s="38">
        <v>30</v>
      </c>
      <c r="J195" s="38" t="s">
        <v>56</v>
      </c>
      <c r="K195" s="38" t="s">
        <v>57</v>
      </c>
      <c r="L195" s="38" t="s">
        <v>58</v>
      </c>
      <c r="M195" s="38">
        <v>0.622</v>
      </c>
      <c r="N195" s="38">
        <v>0.79100000000000004</v>
      </c>
      <c r="O195" s="38">
        <v>-6.1059999999999999</v>
      </c>
      <c r="P195" s="38">
        <v>5.3499999999999999E-2</v>
      </c>
      <c r="Q195" s="38">
        <v>1.8799999999999999E-3</v>
      </c>
      <c r="R195" s="38">
        <v>3.72E-6</v>
      </c>
      <c r="S195" s="38">
        <v>8.3000000000000004E-2</v>
      </c>
      <c r="T195" s="38">
        <v>0.49399999999999999</v>
      </c>
    </row>
    <row r="196" spans="1:20" x14ac:dyDescent="0.15">
      <c r="A196" s="36" t="s">
        <v>387</v>
      </c>
      <c r="B196" s="37" t="s">
        <v>388</v>
      </c>
      <c r="C196" s="38">
        <v>285106</v>
      </c>
      <c r="D196" s="38" t="b">
        <v>1</v>
      </c>
      <c r="E196" s="38">
        <v>26</v>
      </c>
      <c r="F196" s="38" t="s">
        <v>338</v>
      </c>
      <c r="G196" s="38" t="s">
        <v>339</v>
      </c>
      <c r="H196" s="39">
        <v>44512</v>
      </c>
      <c r="I196" s="38">
        <v>30</v>
      </c>
      <c r="J196" s="38" t="s">
        <v>56</v>
      </c>
      <c r="K196" s="38" t="s">
        <v>57</v>
      </c>
      <c r="L196" s="38" t="s">
        <v>58</v>
      </c>
      <c r="M196" s="38">
        <v>0.39100000000000001</v>
      </c>
      <c r="N196" s="38">
        <v>0.71499999999999997</v>
      </c>
      <c r="O196" s="38">
        <v>-4.516</v>
      </c>
      <c r="P196" s="38">
        <v>4.9500000000000002E-2</v>
      </c>
      <c r="Q196" s="38">
        <v>0.16700000000000001</v>
      </c>
      <c r="R196" s="38">
        <v>0</v>
      </c>
      <c r="S196" s="38">
        <v>0.183</v>
      </c>
      <c r="T196" s="38">
        <v>0.47299999999999998</v>
      </c>
    </row>
    <row r="197" spans="1:20" x14ac:dyDescent="0.15">
      <c r="A197" s="36" t="s">
        <v>389</v>
      </c>
      <c r="B197" s="37" t="s">
        <v>390</v>
      </c>
      <c r="C197" s="38">
        <v>263533</v>
      </c>
      <c r="D197" s="38" t="b">
        <v>0</v>
      </c>
      <c r="E197" s="38">
        <v>27</v>
      </c>
      <c r="F197" s="38" t="s">
        <v>338</v>
      </c>
      <c r="G197" s="38" t="s">
        <v>339</v>
      </c>
      <c r="H197" s="39">
        <v>44512</v>
      </c>
      <c r="I197" s="38">
        <v>30</v>
      </c>
      <c r="J197" s="38" t="s">
        <v>56</v>
      </c>
      <c r="K197" s="38" t="s">
        <v>57</v>
      </c>
      <c r="L197" s="38" t="s">
        <v>58</v>
      </c>
      <c r="M197" s="38">
        <v>0.61099999999999999</v>
      </c>
      <c r="N197" s="38">
        <v>0.55200000000000005</v>
      </c>
      <c r="O197" s="38">
        <v>-5.8280000000000003</v>
      </c>
      <c r="P197" s="38">
        <v>3.1E-2</v>
      </c>
      <c r="Q197" s="38">
        <v>0.25600000000000001</v>
      </c>
      <c r="R197" s="38">
        <v>0</v>
      </c>
      <c r="S197" s="38">
        <v>0.13400000000000001</v>
      </c>
      <c r="T197" s="38">
        <v>0.41</v>
      </c>
    </row>
    <row r="198" spans="1:20" x14ac:dyDescent="0.15">
      <c r="A198" s="36" t="s">
        <v>391</v>
      </c>
      <c r="B198" s="37" t="s">
        <v>392</v>
      </c>
      <c r="C198" s="38">
        <v>240226</v>
      </c>
      <c r="D198" s="38" t="b">
        <v>0</v>
      </c>
      <c r="E198" s="38">
        <v>28</v>
      </c>
      <c r="F198" s="38" t="s">
        <v>338</v>
      </c>
      <c r="G198" s="38" t="s">
        <v>339</v>
      </c>
      <c r="H198" s="39">
        <v>44512</v>
      </c>
      <c r="I198" s="38">
        <v>30</v>
      </c>
      <c r="J198" s="38" t="s">
        <v>56</v>
      </c>
      <c r="K198" s="38" t="s">
        <v>57</v>
      </c>
      <c r="L198" s="38" t="s">
        <v>58</v>
      </c>
      <c r="M198" s="38">
        <v>0.61</v>
      </c>
      <c r="N198" s="38">
        <v>0.48799999999999999</v>
      </c>
      <c r="O198" s="38">
        <v>-6.9180000000000001</v>
      </c>
      <c r="P198" s="38">
        <v>2.93E-2</v>
      </c>
      <c r="Q198" s="38">
        <v>0.81699999999999995</v>
      </c>
      <c r="R198" s="38">
        <v>0</v>
      </c>
      <c r="S198" s="38">
        <v>0.312</v>
      </c>
      <c r="T198" s="38">
        <v>0.443</v>
      </c>
    </row>
    <row r="199" spans="1:20" x14ac:dyDescent="0.15">
      <c r="A199" s="36" t="s">
        <v>393</v>
      </c>
      <c r="B199" s="37" t="s">
        <v>394</v>
      </c>
      <c r="C199" s="38">
        <v>200280</v>
      </c>
      <c r="D199" s="38" t="b">
        <v>0</v>
      </c>
      <c r="E199" s="38">
        <v>29</v>
      </c>
      <c r="F199" s="38" t="s">
        <v>338</v>
      </c>
      <c r="G199" s="38" t="s">
        <v>339</v>
      </c>
      <c r="H199" s="39">
        <v>44512</v>
      </c>
      <c r="I199" s="38">
        <v>30</v>
      </c>
      <c r="J199" s="38" t="s">
        <v>56</v>
      </c>
      <c r="K199" s="38" t="s">
        <v>57</v>
      </c>
      <c r="L199" s="38" t="s">
        <v>58</v>
      </c>
      <c r="M199" s="38">
        <v>0.67800000000000005</v>
      </c>
      <c r="N199" s="38">
        <v>0.73299999999999998</v>
      </c>
      <c r="O199" s="38">
        <v>-5.0250000000000004</v>
      </c>
      <c r="P199" s="38">
        <v>2.81E-2</v>
      </c>
      <c r="Q199" s="38">
        <v>1.15E-3</v>
      </c>
      <c r="R199" s="38">
        <v>0</v>
      </c>
      <c r="S199" s="38">
        <v>0.104</v>
      </c>
      <c r="T199" s="38">
        <v>0.58099999999999996</v>
      </c>
    </row>
    <row r="200" spans="1:20" x14ac:dyDescent="0.15">
      <c r="A200" s="36" t="s">
        <v>395</v>
      </c>
      <c r="B200" s="37" t="s">
        <v>396</v>
      </c>
      <c r="C200" s="38">
        <v>613026</v>
      </c>
      <c r="D200" s="38" t="b">
        <v>1</v>
      </c>
      <c r="E200" s="38">
        <v>30</v>
      </c>
      <c r="F200" s="38" t="s">
        <v>338</v>
      </c>
      <c r="G200" s="38" t="s">
        <v>339</v>
      </c>
      <c r="H200" s="39">
        <v>44512</v>
      </c>
      <c r="I200" s="38">
        <v>30</v>
      </c>
      <c r="J200" s="38" t="s">
        <v>56</v>
      </c>
      <c r="K200" s="38" t="s">
        <v>57</v>
      </c>
      <c r="L200" s="38" t="s">
        <v>58</v>
      </c>
      <c r="M200" s="38">
        <v>0.63100000000000001</v>
      </c>
      <c r="N200" s="38">
        <v>0.51800000000000002</v>
      </c>
      <c r="O200" s="38">
        <v>-8.7710000000000008</v>
      </c>
      <c r="P200" s="38">
        <v>3.0300000000000001E-2</v>
      </c>
      <c r="Q200" s="38">
        <v>0.27400000000000002</v>
      </c>
      <c r="R200" s="38">
        <v>0</v>
      </c>
      <c r="S200" s="38">
        <v>8.7999999999999995E-2</v>
      </c>
      <c r="T200" s="38">
        <v>0.20499999999999999</v>
      </c>
    </row>
    <row r="201" spans="1:20" x14ac:dyDescent="0.15">
      <c r="A201" s="36" t="s">
        <v>397</v>
      </c>
      <c r="B201" s="37" t="s">
        <v>398</v>
      </c>
      <c r="C201" s="38">
        <v>241591</v>
      </c>
      <c r="D201" s="38" t="b">
        <v>0</v>
      </c>
      <c r="E201" s="38">
        <v>1</v>
      </c>
      <c r="F201" s="38" t="s">
        <v>399</v>
      </c>
      <c r="G201" s="38" t="s">
        <v>400</v>
      </c>
      <c r="H201" s="39">
        <v>44295</v>
      </c>
      <c r="I201" s="38">
        <v>26</v>
      </c>
      <c r="J201" s="38" t="s">
        <v>56</v>
      </c>
      <c r="K201" s="38" t="s">
        <v>57</v>
      </c>
      <c r="L201" s="38" t="s">
        <v>58</v>
      </c>
      <c r="M201" s="38">
        <v>0.56899999999999995</v>
      </c>
      <c r="N201" s="38">
        <v>0.74099999999999999</v>
      </c>
      <c r="O201" s="38">
        <v>-4.9630000000000001</v>
      </c>
      <c r="P201" s="38">
        <v>2.8199999999999999E-2</v>
      </c>
      <c r="Q201" s="38">
        <v>1.2200000000000001E-2</v>
      </c>
      <c r="R201" s="38">
        <v>0</v>
      </c>
      <c r="S201" s="38">
        <v>0.33300000000000002</v>
      </c>
      <c r="T201" s="38">
        <v>0.43</v>
      </c>
    </row>
    <row r="202" spans="1:20" x14ac:dyDescent="0.15">
      <c r="A202" s="36" t="s">
        <v>401</v>
      </c>
      <c r="B202" s="37" t="s">
        <v>402</v>
      </c>
      <c r="C202" s="38">
        <v>294419</v>
      </c>
      <c r="D202" s="38" t="b">
        <v>0</v>
      </c>
      <c r="E202" s="38">
        <v>2</v>
      </c>
      <c r="F202" s="38" t="s">
        <v>399</v>
      </c>
      <c r="G202" s="38" t="s">
        <v>400</v>
      </c>
      <c r="H202" s="39">
        <v>44295</v>
      </c>
      <c r="I202" s="38">
        <v>26</v>
      </c>
      <c r="J202" s="38" t="s">
        <v>56</v>
      </c>
      <c r="K202" s="38" t="s">
        <v>57</v>
      </c>
      <c r="L202" s="38" t="s">
        <v>58</v>
      </c>
      <c r="M202" s="38">
        <v>0.55900000000000005</v>
      </c>
      <c r="N202" s="38">
        <v>0.64600000000000002</v>
      </c>
      <c r="O202" s="38">
        <v>-4.6100000000000003</v>
      </c>
      <c r="P202" s="38">
        <v>2.7199999999999998E-2</v>
      </c>
      <c r="Q202" s="38">
        <v>0.11600000000000001</v>
      </c>
      <c r="R202" s="38">
        <v>0</v>
      </c>
      <c r="S202" s="38">
        <v>0.32</v>
      </c>
      <c r="T202" s="38">
        <v>0.28899999999999998</v>
      </c>
    </row>
    <row r="203" spans="1:20" x14ac:dyDescent="0.15">
      <c r="A203" s="36" t="s">
        <v>403</v>
      </c>
      <c r="B203" s="37" t="s">
        <v>404</v>
      </c>
      <c r="C203" s="38">
        <v>235766</v>
      </c>
      <c r="D203" s="38" t="b">
        <v>0</v>
      </c>
      <c r="E203" s="38">
        <v>3</v>
      </c>
      <c r="F203" s="38" t="s">
        <v>399</v>
      </c>
      <c r="G203" s="38" t="s">
        <v>400</v>
      </c>
      <c r="H203" s="39">
        <v>44295</v>
      </c>
      <c r="I203" s="38">
        <v>26</v>
      </c>
      <c r="J203" s="38" t="s">
        <v>56</v>
      </c>
      <c r="K203" s="38" t="s">
        <v>57</v>
      </c>
      <c r="L203" s="38" t="s">
        <v>58</v>
      </c>
      <c r="M203" s="38">
        <v>0.627</v>
      </c>
      <c r="N203" s="38">
        <v>0.79200000000000004</v>
      </c>
      <c r="O203" s="38">
        <v>-4.3109999999999999</v>
      </c>
      <c r="P203" s="38">
        <v>3.1E-2</v>
      </c>
      <c r="Q203" s="38">
        <v>0.13</v>
      </c>
      <c r="R203" s="38">
        <v>3.9700000000000001E-6</v>
      </c>
      <c r="S203" s="38">
        <v>8.4500000000000006E-2</v>
      </c>
      <c r="T203" s="38">
        <v>0.41499999999999998</v>
      </c>
    </row>
    <row r="204" spans="1:20" x14ac:dyDescent="0.15">
      <c r="A204" s="36" t="s">
        <v>405</v>
      </c>
      <c r="B204" s="37" t="s">
        <v>406</v>
      </c>
      <c r="C204" s="38">
        <v>254254</v>
      </c>
      <c r="D204" s="38" t="b">
        <v>0</v>
      </c>
      <c r="E204" s="38">
        <v>4</v>
      </c>
      <c r="F204" s="38" t="s">
        <v>399</v>
      </c>
      <c r="G204" s="38" t="s">
        <v>400</v>
      </c>
      <c r="H204" s="39">
        <v>44295</v>
      </c>
      <c r="I204" s="38">
        <v>26</v>
      </c>
      <c r="J204" s="38" t="s">
        <v>56</v>
      </c>
      <c r="K204" s="38" t="s">
        <v>57</v>
      </c>
      <c r="L204" s="38" t="s">
        <v>58</v>
      </c>
      <c r="M204" s="38">
        <v>0.78800000000000003</v>
      </c>
      <c r="N204" s="38">
        <v>0.57099999999999995</v>
      </c>
      <c r="O204" s="38">
        <v>-6.1349999999999998</v>
      </c>
      <c r="P204" s="38">
        <v>2.9600000000000001E-2</v>
      </c>
      <c r="Q204" s="38">
        <v>0.106</v>
      </c>
      <c r="R204" s="38">
        <v>0</v>
      </c>
      <c r="S204" s="38">
        <v>9.3399999999999997E-2</v>
      </c>
      <c r="T204" s="38">
        <v>0.79700000000000004</v>
      </c>
    </row>
    <row r="205" spans="1:20" x14ac:dyDescent="0.15">
      <c r="A205" s="36" t="s">
        <v>407</v>
      </c>
      <c r="B205" s="37" t="s">
        <v>408</v>
      </c>
      <c r="C205" s="38">
        <v>234515</v>
      </c>
      <c r="D205" s="38" t="b">
        <v>0</v>
      </c>
      <c r="E205" s="38">
        <v>5</v>
      </c>
      <c r="F205" s="38" t="s">
        <v>399</v>
      </c>
      <c r="G205" s="38" t="s">
        <v>400</v>
      </c>
      <c r="H205" s="39">
        <v>44295</v>
      </c>
      <c r="I205" s="38">
        <v>26</v>
      </c>
      <c r="J205" s="38" t="s">
        <v>56</v>
      </c>
      <c r="K205" s="38" t="s">
        <v>57</v>
      </c>
      <c r="L205" s="38" t="s">
        <v>58</v>
      </c>
      <c r="M205" s="38">
        <v>0.42299999999999999</v>
      </c>
      <c r="N205" s="38">
        <v>0.51700000000000002</v>
      </c>
      <c r="O205" s="38">
        <v>-7.3769999999999998</v>
      </c>
      <c r="P205" s="38">
        <v>4.8599999999999997E-2</v>
      </c>
      <c r="Q205" s="38">
        <v>0.36899999999999999</v>
      </c>
      <c r="R205" s="38">
        <v>0</v>
      </c>
      <c r="S205" s="38">
        <v>0.17699999999999999</v>
      </c>
      <c r="T205" s="38">
        <v>0.36599999999999999</v>
      </c>
    </row>
    <row r="206" spans="1:20" x14ac:dyDescent="0.15">
      <c r="A206" s="36" t="s">
        <v>409</v>
      </c>
      <c r="B206" s="37" t="s">
        <v>410</v>
      </c>
      <c r="C206" s="38">
        <v>231124</v>
      </c>
      <c r="D206" s="38" t="b">
        <v>0</v>
      </c>
      <c r="E206" s="38">
        <v>6</v>
      </c>
      <c r="F206" s="38" t="s">
        <v>399</v>
      </c>
      <c r="G206" s="38" t="s">
        <v>400</v>
      </c>
      <c r="H206" s="39">
        <v>44295</v>
      </c>
      <c r="I206" s="38">
        <v>26</v>
      </c>
      <c r="J206" s="38" t="s">
        <v>56</v>
      </c>
      <c r="K206" s="38" t="s">
        <v>57</v>
      </c>
      <c r="L206" s="38" t="s">
        <v>58</v>
      </c>
      <c r="M206" s="38">
        <v>0.63200000000000001</v>
      </c>
      <c r="N206" s="38">
        <v>0.77300000000000002</v>
      </c>
      <c r="O206" s="38">
        <v>-4.8559999999999999</v>
      </c>
      <c r="P206" s="38">
        <v>3.4599999999999999E-2</v>
      </c>
      <c r="Q206" s="38">
        <v>6.2300000000000001E-2</v>
      </c>
      <c r="R206" s="38">
        <v>0</v>
      </c>
      <c r="S206" s="38">
        <v>8.8499999999999995E-2</v>
      </c>
      <c r="T206" s="38">
        <v>0.47399999999999998</v>
      </c>
    </row>
    <row r="207" spans="1:20" x14ac:dyDescent="0.15">
      <c r="A207" s="36" t="s">
        <v>411</v>
      </c>
      <c r="B207" s="37" t="s">
        <v>412</v>
      </c>
      <c r="C207" s="38">
        <v>263377</v>
      </c>
      <c r="D207" s="38" t="b">
        <v>0</v>
      </c>
      <c r="E207" s="38">
        <v>7</v>
      </c>
      <c r="F207" s="38" t="s">
        <v>399</v>
      </c>
      <c r="G207" s="38" t="s">
        <v>400</v>
      </c>
      <c r="H207" s="39">
        <v>44295</v>
      </c>
      <c r="I207" s="38">
        <v>26</v>
      </c>
      <c r="J207" s="38" t="s">
        <v>56</v>
      </c>
      <c r="K207" s="38" t="s">
        <v>57</v>
      </c>
      <c r="L207" s="38" t="s">
        <v>58</v>
      </c>
      <c r="M207" s="38">
        <v>0.50600000000000001</v>
      </c>
      <c r="N207" s="38">
        <v>0.626</v>
      </c>
      <c r="O207" s="38">
        <v>-6.0659999999999998</v>
      </c>
      <c r="P207" s="38">
        <v>2.87E-2</v>
      </c>
      <c r="Q207" s="38">
        <v>0.156</v>
      </c>
      <c r="R207" s="38">
        <v>0</v>
      </c>
      <c r="S207" s="38">
        <v>0.22800000000000001</v>
      </c>
      <c r="T207" s="38">
        <v>0.32100000000000001</v>
      </c>
    </row>
    <row r="208" spans="1:20" x14ac:dyDescent="0.15">
      <c r="A208" s="36" t="s">
        <v>413</v>
      </c>
      <c r="B208" s="37" t="s">
        <v>414</v>
      </c>
      <c r="C208" s="38">
        <v>200575</v>
      </c>
      <c r="D208" s="38" t="b">
        <v>0</v>
      </c>
      <c r="E208" s="38">
        <v>8</v>
      </c>
      <c r="F208" s="38" t="s">
        <v>399</v>
      </c>
      <c r="G208" s="38" t="s">
        <v>400</v>
      </c>
      <c r="H208" s="39">
        <v>44295</v>
      </c>
      <c r="I208" s="38">
        <v>26</v>
      </c>
      <c r="J208" s="38" t="s">
        <v>56</v>
      </c>
      <c r="K208" s="38" t="s">
        <v>57</v>
      </c>
      <c r="L208" s="38" t="s">
        <v>58</v>
      </c>
      <c r="M208" s="38">
        <v>0.57799999999999996</v>
      </c>
      <c r="N208" s="38">
        <v>0.90900000000000003</v>
      </c>
      <c r="O208" s="38">
        <v>-3.669</v>
      </c>
      <c r="P208" s="38">
        <v>6.2799999999999995E-2</v>
      </c>
      <c r="Q208" s="38">
        <v>2.2200000000000001E-2</v>
      </c>
      <c r="R208" s="38">
        <v>0</v>
      </c>
      <c r="S208" s="38">
        <v>0.33300000000000002</v>
      </c>
      <c r="T208" s="38">
        <v>0.54100000000000004</v>
      </c>
    </row>
    <row r="209" spans="1:20" x14ac:dyDescent="0.15">
      <c r="A209" s="36" t="s">
        <v>415</v>
      </c>
      <c r="B209" s="37" t="s">
        <v>416</v>
      </c>
      <c r="C209" s="38">
        <v>261842</v>
      </c>
      <c r="D209" s="38" t="b">
        <v>0</v>
      </c>
      <c r="E209" s="38">
        <v>9</v>
      </c>
      <c r="F209" s="38" t="s">
        <v>399</v>
      </c>
      <c r="G209" s="38" t="s">
        <v>400</v>
      </c>
      <c r="H209" s="39">
        <v>44295</v>
      </c>
      <c r="I209" s="38">
        <v>26</v>
      </c>
      <c r="J209" s="38" t="s">
        <v>56</v>
      </c>
      <c r="K209" s="38" t="s">
        <v>57</v>
      </c>
      <c r="L209" s="38" t="s">
        <v>58</v>
      </c>
      <c r="M209" s="38">
        <v>0.50600000000000001</v>
      </c>
      <c r="N209" s="38">
        <v>0.44400000000000001</v>
      </c>
      <c r="O209" s="38">
        <v>-4.99</v>
      </c>
      <c r="P209" s="38">
        <v>2.8500000000000001E-2</v>
      </c>
      <c r="Q209" s="38">
        <v>5.3800000000000001E-2</v>
      </c>
      <c r="R209" s="38">
        <v>0</v>
      </c>
      <c r="S209" s="38">
        <v>0.123</v>
      </c>
      <c r="T209" s="38">
        <v>0.24099999999999999</v>
      </c>
    </row>
    <row r="210" spans="1:20" x14ac:dyDescent="0.15">
      <c r="A210" s="36" t="s">
        <v>417</v>
      </c>
      <c r="B210" s="37" t="s">
        <v>418</v>
      </c>
      <c r="C210" s="38">
        <v>243136</v>
      </c>
      <c r="D210" s="38" t="b">
        <v>0</v>
      </c>
      <c r="E210" s="38">
        <v>10</v>
      </c>
      <c r="F210" s="38" t="s">
        <v>399</v>
      </c>
      <c r="G210" s="38" t="s">
        <v>400</v>
      </c>
      <c r="H210" s="39">
        <v>44295</v>
      </c>
      <c r="I210" s="38">
        <v>26</v>
      </c>
      <c r="J210" s="38" t="s">
        <v>56</v>
      </c>
      <c r="K210" s="38" t="s">
        <v>57</v>
      </c>
      <c r="L210" s="38" t="s">
        <v>58</v>
      </c>
      <c r="M210" s="38">
        <v>0.40200000000000002</v>
      </c>
      <c r="N210" s="38">
        <v>0.73199999999999998</v>
      </c>
      <c r="O210" s="38">
        <v>-4.665</v>
      </c>
      <c r="P210" s="38">
        <v>4.8399999999999999E-2</v>
      </c>
      <c r="Q210" s="38">
        <v>3.3E-3</v>
      </c>
      <c r="R210" s="38">
        <v>0</v>
      </c>
      <c r="S210" s="38">
        <v>0.108</v>
      </c>
      <c r="T210" s="38">
        <v>0.47199999999999998</v>
      </c>
    </row>
    <row r="211" spans="1:20" x14ac:dyDescent="0.15">
      <c r="A211" s="36" t="s">
        <v>419</v>
      </c>
      <c r="B211" s="37" t="s">
        <v>420</v>
      </c>
      <c r="C211" s="38">
        <v>225328</v>
      </c>
      <c r="D211" s="38" t="b">
        <v>0</v>
      </c>
      <c r="E211" s="38">
        <v>11</v>
      </c>
      <c r="F211" s="38" t="s">
        <v>399</v>
      </c>
      <c r="G211" s="38" t="s">
        <v>400</v>
      </c>
      <c r="H211" s="39">
        <v>44295</v>
      </c>
      <c r="I211" s="38">
        <v>26</v>
      </c>
      <c r="J211" s="38" t="s">
        <v>56</v>
      </c>
      <c r="K211" s="38" t="s">
        <v>57</v>
      </c>
      <c r="L211" s="38" t="s">
        <v>58</v>
      </c>
      <c r="M211" s="38">
        <v>0.59799999999999998</v>
      </c>
      <c r="N211" s="38">
        <v>0.82099999999999995</v>
      </c>
      <c r="O211" s="38">
        <v>-4.4329999999999998</v>
      </c>
      <c r="P211" s="38">
        <v>4.4699999999999997E-2</v>
      </c>
      <c r="Q211" s="38">
        <v>2.3099999999999999E-2</v>
      </c>
      <c r="R211" s="38">
        <v>0</v>
      </c>
      <c r="S211" s="38">
        <v>0.14299999999999999</v>
      </c>
      <c r="T211" s="38">
        <v>0.67300000000000004</v>
      </c>
    </row>
    <row r="212" spans="1:20" x14ac:dyDescent="0.15">
      <c r="A212" s="36" t="s">
        <v>421</v>
      </c>
      <c r="B212" s="37" t="s">
        <v>422</v>
      </c>
      <c r="C212" s="38">
        <v>245290</v>
      </c>
      <c r="D212" s="38" t="b">
        <v>0</v>
      </c>
      <c r="E212" s="38">
        <v>12</v>
      </c>
      <c r="F212" s="38" t="s">
        <v>399</v>
      </c>
      <c r="G212" s="38" t="s">
        <v>400</v>
      </c>
      <c r="H212" s="39">
        <v>44295</v>
      </c>
      <c r="I212" s="38">
        <v>26</v>
      </c>
      <c r="J212" s="38" t="s">
        <v>56</v>
      </c>
      <c r="K212" s="38" t="s">
        <v>57</v>
      </c>
      <c r="L212" s="38" t="s">
        <v>58</v>
      </c>
      <c r="M212" s="38">
        <v>0.64200000000000002</v>
      </c>
      <c r="N212" s="38">
        <v>0.57599999999999996</v>
      </c>
      <c r="O212" s="38">
        <v>-8.5239999999999991</v>
      </c>
      <c r="P212" s="38">
        <v>2.8199999999999999E-2</v>
      </c>
      <c r="Q212" s="38">
        <v>0.48799999999999999</v>
      </c>
      <c r="R212" s="38">
        <v>0</v>
      </c>
      <c r="S212" s="38">
        <v>0.159</v>
      </c>
      <c r="T212" s="38">
        <v>0.46899999999999997</v>
      </c>
    </row>
    <row r="213" spans="1:20" x14ac:dyDescent="0.15">
      <c r="A213" s="36" t="s">
        <v>423</v>
      </c>
      <c r="B213" s="37" t="s">
        <v>424</v>
      </c>
      <c r="C213" s="38">
        <v>279359</v>
      </c>
      <c r="D213" s="38" t="b">
        <v>0</v>
      </c>
      <c r="E213" s="38">
        <v>13</v>
      </c>
      <c r="F213" s="38" t="s">
        <v>399</v>
      </c>
      <c r="G213" s="38" t="s">
        <v>400</v>
      </c>
      <c r="H213" s="39">
        <v>44295</v>
      </c>
      <c r="I213" s="38">
        <v>26</v>
      </c>
      <c r="J213" s="38" t="s">
        <v>56</v>
      </c>
      <c r="K213" s="38" t="s">
        <v>57</v>
      </c>
      <c r="L213" s="38" t="s">
        <v>58</v>
      </c>
      <c r="M213" s="38">
        <v>0.499</v>
      </c>
      <c r="N213" s="38">
        <v>0.81499999999999995</v>
      </c>
      <c r="O213" s="38">
        <v>-4.0629999999999997</v>
      </c>
      <c r="P213" s="38">
        <v>3.4099999999999998E-2</v>
      </c>
      <c r="Q213" s="38">
        <v>1.9100000000000001E-4</v>
      </c>
      <c r="R213" s="38">
        <v>0</v>
      </c>
      <c r="S213" s="38">
        <v>0.18099999999999999</v>
      </c>
      <c r="T213" s="38">
        <v>0.34399999999999997</v>
      </c>
    </row>
    <row r="214" spans="1:20" x14ac:dyDescent="0.15">
      <c r="A214" s="36" t="s">
        <v>425</v>
      </c>
      <c r="B214" s="37" t="s">
        <v>426</v>
      </c>
      <c r="C214" s="38">
        <v>237580</v>
      </c>
      <c r="D214" s="38" t="b">
        <v>0</v>
      </c>
      <c r="E214" s="38">
        <v>14</v>
      </c>
      <c r="F214" s="38" t="s">
        <v>399</v>
      </c>
      <c r="G214" s="38" t="s">
        <v>400</v>
      </c>
      <c r="H214" s="39">
        <v>44295</v>
      </c>
      <c r="I214" s="38">
        <v>26</v>
      </c>
      <c r="J214" s="38" t="s">
        <v>56</v>
      </c>
      <c r="K214" s="38" t="s">
        <v>57</v>
      </c>
      <c r="L214" s="38" t="s">
        <v>58</v>
      </c>
      <c r="M214" s="38">
        <v>0.57199999999999995</v>
      </c>
      <c r="N214" s="38">
        <v>0.69</v>
      </c>
      <c r="O214" s="38">
        <v>-6.2009999999999996</v>
      </c>
      <c r="P214" s="38">
        <v>3.5799999999999998E-2</v>
      </c>
      <c r="Q214" s="38">
        <v>4.7399999999999998E-2</v>
      </c>
      <c r="R214" s="38">
        <v>0</v>
      </c>
      <c r="S214" s="38">
        <v>8.9700000000000002E-2</v>
      </c>
      <c r="T214" s="38">
        <v>0.624</v>
      </c>
    </row>
    <row r="215" spans="1:20" x14ac:dyDescent="0.15">
      <c r="A215" s="36" t="s">
        <v>427</v>
      </c>
      <c r="B215" s="37" t="s">
        <v>428</v>
      </c>
      <c r="C215" s="38">
        <v>312107</v>
      </c>
      <c r="D215" s="38" t="b">
        <v>0</v>
      </c>
      <c r="E215" s="38">
        <v>15</v>
      </c>
      <c r="F215" s="38" t="s">
        <v>399</v>
      </c>
      <c r="G215" s="38" t="s">
        <v>400</v>
      </c>
      <c r="H215" s="39">
        <v>44295</v>
      </c>
      <c r="I215" s="38">
        <v>26</v>
      </c>
      <c r="J215" s="38" t="s">
        <v>56</v>
      </c>
      <c r="K215" s="38" t="s">
        <v>57</v>
      </c>
      <c r="L215" s="38" t="s">
        <v>58</v>
      </c>
      <c r="M215" s="38">
        <v>0.39300000000000002</v>
      </c>
      <c r="N215" s="38">
        <v>0.53100000000000003</v>
      </c>
      <c r="O215" s="38">
        <v>-6.1120000000000001</v>
      </c>
      <c r="P215" s="38">
        <v>3.2899999999999999E-2</v>
      </c>
      <c r="Q215" s="38">
        <v>1.8100000000000002E-2</v>
      </c>
      <c r="R215" s="38">
        <v>0</v>
      </c>
      <c r="S215" s="38">
        <v>0.16900000000000001</v>
      </c>
      <c r="T215" s="38">
        <v>0.224</v>
      </c>
    </row>
    <row r="216" spans="1:20" x14ac:dyDescent="0.15">
      <c r="A216" s="36" t="s">
        <v>429</v>
      </c>
      <c r="B216" s="37" t="s">
        <v>430</v>
      </c>
      <c r="C216" s="38">
        <v>267833</v>
      </c>
      <c r="D216" s="38" t="b">
        <v>0</v>
      </c>
      <c r="E216" s="38">
        <v>16</v>
      </c>
      <c r="F216" s="38" t="s">
        <v>399</v>
      </c>
      <c r="G216" s="38" t="s">
        <v>400</v>
      </c>
      <c r="H216" s="39">
        <v>44295</v>
      </c>
      <c r="I216" s="38">
        <v>26</v>
      </c>
      <c r="J216" s="38" t="s">
        <v>56</v>
      </c>
      <c r="K216" s="38" t="s">
        <v>57</v>
      </c>
      <c r="L216" s="38" t="s">
        <v>58</v>
      </c>
      <c r="M216" s="38">
        <v>0.54600000000000004</v>
      </c>
      <c r="N216" s="38">
        <v>0.27300000000000002</v>
      </c>
      <c r="O216" s="38">
        <v>-9.2080000000000002</v>
      </c>
      <c r="P216" s="38">
        <v>3.0800000000000001E-2</v>
      </c>
      <c r="Q216" s="38">
        <v>0.81899999999999995</v>
      </c>
      <c r="R216" s="38">
        <v>0</v>
      </c>
      <c r="S216" s="38">
        <v>0.13700000000000001</v>
      </c>
      <c r="T216" s="38">
        <v>0.27100000000000002</v>
      </c>
    </row>
    <row r="217" spans="1:20" x14ac:dyDescent="0.15">
      <c r="A217" s="36" t="s">
        <v>431</v>
      </c>
      <c r="B217" s="37" t="s">
        <v>432</v>
      </c>
      <c r="C217" s="38">
        <v>237338</v>
      </c>
      <c r="D217" s="38" t="b">
        <v>0</v>
      </c>
      <c r="E217" s="38">
        <v>17</v>
      </c>
      <c r="F217" s="38" t="s">
        <v>399</v>
      </c>
      <c r="G217" s="38" t="s">
        <v>400</v>
      </c>
      <c r="H217" s="39">
        <v>44295</v>
      </c>
      <c r="I217" s="38">
        <v>26</v>
      </c>
      <c r="J217" s="38" t="s">
        <v>56</v>
      </c>
      <c r="K217" s="38" t="s">
        <v>57</v>
      </c>
      <c r="L217" s="38" t="s">
        <v>58</v>
      </c>
      <c r="M217" s="38">
        <v>0.47599999999999998</v>
      </c>
      <c r="N217" s="38">
        <v>0.56399999999999995</v>
      </c>
      <c r="O217" s="38">
        <v>-5.6769999999999996</v>
      </c>
      <c r="P217" s="38">
        <v>2.69E-2</v>
      </c>
      <c r="Q217" s="38">
        <v>4.0599999999999997E-2</v>
      </c>
      <c r="R217" s="38">
        <v>0</v>
      </c>
      <c r="S217" s="38">
        <v>0.10199999999999999</v>
      </c>
      <c r="T217" s="38">
        <v>0.16700000000000001</v>
      </c>
    </row>
    <row r="218" spans="1:20" x14ac:dyDescent="0.15">
      <c r="A218" s="36" t="s">
        <v>433</v>
      </c>
      <c r="B218" s="37" t="s">
        <v>434</v>
      </c>
      <c r="C218" s="38">
        <v>263865</v>
      </c>
      <c r="D218" s="38" t="b">
        <v>0</v>
      </c>
      <c r="E218" s="38">
        <v>18</v>
      </c>
      <c r="F218" s="38" t="s">
        <v>399</v>
      </c>
      <c r="G218" s="38" t="s">
        <v>400</v>
      </c>
      <c r="H218" s="39">
        <v>44295</v>
      </c>
      <c r="I218" s="38">
        <v>26</v>
      </c>
      <c r="J218" s="38" t="s">
        <v>56</v>
      </c>
      <c r="K218" s="38" t="s">
        <v>57</v>
      </c>
      <c r="L218" s="38" t="s">
        <v>58</v>
      </c>
      <c r="M218" s="38">
        <v>0.45400000000000001</v>
      </c>
      <c r="N218" s="38">
        <v>0.55500000000000005</v>
      </c>
      <c r="O218" s="38">
        <v>-6.69</v>
      </c>
      <c r="P218" s="38">
        <v>2.8299999999999999E-2</v>
      </c>
      <c r="Q218" s="38">
        <v>0.157</v>
      </c>
      <c r="R218" s="38">
        <v>0</v>
      </c>
      <c r="S218" s="38">
        <v>0.34300000000000003</v>
      </c>
      <c r="T218" s="38">
        <v>0.17100000000000001</v>
      </c>
    </row>
    <row r="219" spans="1:20" x14ac:dyDescent="0.15">
      <c r="A219" s="36" t="s">
        <v>435</v>
      </c>
      <c r="B219" s="37" t="s">
        <v>436</v>
      </c>
      <c r="C219" s="38">
        <v>238443</v>
      </c>
      <c r="D219" s="38" t="b">
        <v>0</v>
      </c>
      <c r="E219" s="38">
        <v>19</v>
      </c>
      <c r="F219" s="38" t="s">
        <v>399</v>
      </c>
      <c r="G219" s="38" t="s">
        <v>400</v>
      </c>
      <c r="H219" s="39">
        <v>44295</v>
      </c>
      <c r="I219" s="38">
        <v>26</v>
      </c>
      <c r="J219" s="38" t="s">
        <v>56</v>
      </c>
      <c r="K219" s="38" t="s">
        <v>57</v>
      </c>
      <c r="L219" s="38" t="s">
        <v>58</v>
      </c>
      <c r="M219" s="38">
        <v>0.432</v>
      </c>
      <c r="N219" s="38">
        <v>0.873</v>
      </c>
      <c r="O219" s="38">
        <v>-4.367</v>
      </c>
      <c r="P219" s="38">
        <v>5.7700000000000001E-2</v>
      </c>
      <c r="Q219" s="38">
        <v>2.7900000000000001E-2</v>
      </c>
      <c r="R219" s="38">
        <v>0</v>
      </c>
      <c r="S219" s="38">
        <v>0.16700000000000001</v>
      </c>
      <c r="T219" s="38">
        <v>0.629</v>
      </c>
    </row>
    <row r="220" spans="1:20" x14ac:dyDescent="0.15">
      <c r="A220" s="36" t="s">
        <v>437</v>
      </c>
      <c r="B220" s="37" t="s">
        <v>438</v>
      </c>
      <c r="C220" s="38">
        <v>241822</v>
      </c>
      <c r="D220" s="38" t="b">
        <v>0</v>
      </c>
      <c r="E220" s="38">
        <v>20</v>
      </c>
      <c r="F220" s="38" t="s">
        <v>399</v>
      </c>
      <c r="G220" s="38" t="s">
        <v>400</v>
      </c>
      <c r="H220" s="39">
        <v>44295</v>
      </c>
      <c r="I220" s="38">
        <v>26</v>
      </c>
      <c r="J220" s="38" t="s">
        <v>56</v>
      </c>
      <c r="K220" s="38" t="s">
        <v>57</v>
      </c>
      <c r="L220" s="38" t="s">
        <v>58</v>
      </c>
      <c r="M220" s="38">
        <v>0.48199999999999998</v>
      </c>
      <c r="N220" s="38">
        <v>0.77900000000000003</v>
      </c>
      <c r="O220" s="38">
        <v>-5.0250000000000004</v>
      </c>
      <c r="P220" s="38">
        <v>4.0899999999999999E-2</v>
      </c>
      <c r="Q220" s="38">
        <v>1.35E-2</v>
      </c>
      <c r="R220" s="38">
        <v>0</v>
      </c>
      <c r="S220" s="38">
        <v>0.29599999999999999</v>
      </c>
      <c r="T220" s="38">
        <v>0.32800000000000001</v>
      </c>
    </row>
    <row r="221" spans="1:20" x14ac:dyDescent="0.15">
      <c r="A221" s="36" t="s">
        <v>439</v>
      </c>
      <c r="B221" s="37" t="s">
        <v>440</v>
      </c>
      <c r="C221" s="38">
        <v>220839</v>
      </c>
      <c r="D221" s="38" t="b">
        <v>0</v>
      </c>
      <c r="E221" s="38">
        <v>21</v>
      </c>
      <c r="F221" s="38" t="s">
        <v>399</v>
      </c>
      <c r="G221" s="38" t="s">
        <v>400</v>
      </c>
      <c r="H221" s="39">
        <v>44295</v>
      </c>
      <c r="I221" s="38">
        <v>26</v>
      </c>
      <c r="J221" s="38" t="s">
        <v>56</v>
      </c>
      <c r="K221" s="38" t="s">
        <v>57</v>
      </c>
      <c r="L221" s="38" t="s">
        <v>58</v>
      </c>
      <c r="M221" s="38">
        <v>0.59899999999999998</v>
      </c>
      <c r="N221" s="38">
        <v>0.49399999999999999</v>
      </c>
      <c r="O221" s="38">
        <v>-7.61</v>
      </c>
      <c r="P221" s="38">
        <v>3.7199999999999997E-2</v>
      </c>
      <c r="Q221" s="38">
        <v>0.81599999999999995</v>
      </c>
      <c r="R221" s="38">
        <v>0</v>
      </c>
      <c r="S221" s="38">
        <v>0.10100000000000001</v>
      </c>
      <c r="T221" s="38">
        <v>0.44</v>
      </c>
    </row>
    <row r="222" spans="1:20" x14ac:dyDescent="0.15">
      <c r="A222" s="36" t="s">
        <v>441</v>
      </c>
      <c r="B222" s="37" t="s">
        <v>442</v>
      </c>
      <c r="C222" s="38">
        <v>277591</v>
      </c>
      <c r="D222" s="38" t="b">
        <v>0</v>
      </c>
      <c r="E222" s="38">
        <v>22</v>
      </c>
      <c r="F222" s="38" t="s">
        <v>399</v>
      </c>
      <c r="G222" s="38" t="s">
        <v>400</v>
      </c>
      <c r="H222" s="39">
        <v>44295</v>
      </c>
      <c r="I222" s="38">
        <v>26</v>
      </c>
      <c r="J222" s="38" t="s">
        <v>56</v>
      </c>
      <c r="K222" s="38" t="s">
        <v>57</v>
      </c>
      <c r="L222" s="38" t="s">
        <v>58</v>
      </c>
      <c r="M222" s="38">
        <v>0.66</v>
      </c>
      <c r="N222" s="38">
        <v>0.81699999999999995</v>
      </c>
      <c r="O222" s="38">
        <v>-6.2690000000000001</v>
      </c>
      <c r="P222" s="38">
        <v>5.21E-2</v>
      </c>
      <c r="Q222" s="38">
        <v>0.16200000000000001</v>
      </c>
      <c r="R222" s="38">
        <v>0</v>
      </c>
      <c r="S222" s="38">
        <v>6.6699999999999995E-2</v>
      </c>
      <c r="T222" s="38">
        <v>0.71399999999999997</v>
      </c>
    </row>
    <row r="223" spans="1:20" x14ac:dyDescent="0.15">
      <c r="A223" s="36" t="s">
        <v>443</v>
      </c>
      <c r="B223" s="37" t="s">
        <v>444</v>
      </c>
      <c r="C223" s="38">
        <v>244236</v>
      </c>
      <c r="D223" s="38" t="b">
        <v>0</v>
      </c>
      <c r="E223" s="38">
        <v>23</v>
      </c>
      <c r="F223" s="38" t="s">
        <v>399</v>
      </c>
      <c r="G223" s="38" t="s">
        <v>400</v>
      </c>
      <c r="H223" s="39">
        <v>44295</v>
      </c>
      <c r="I223" s="38">
        <v>26</v>
      </c>
      <c r="J223" s="38" t="s">
        <v>56</v>
      </c>
      <c r="K223" s="38" t="s">
        <v>57</v>
      </c>
      <c r="L223" s="38" t="s">
        <v>58</v>
      </c>
      <c r="M223" s="38">
        <v>0.60899999999999999</v>
      </c>
      <c r="N223" s="38">
        <v>0.373</v>
      </c>
      <c r="O223" s="38">
        <v>-8.8190000000000008</v>
      </c>
      <c r="P223" s="38">
        <v>2.63E-2</v>
      </c>
      <c r="Q223" s="38">
        <v>0.84899999999999998</v>
      </c>
      <c r="R223" s="38">
        <v>0</v>
      </c>
      <c r="S223" s="38">
        <v>7.7899999999999997E-2</v>
      </c>
      <c r="T223" s="38">
        <v>0.13</v>
      </c>
    </row>
    <row r="224" spans="1:20" x14ac:dyDescent="0.15">
      <c r="A224" s="36" t="s">
        <v>445</v>
      </c>
      <c r="B224" s="37" t="s">
        <v>446</v>
      </c>
      <c r="C224" s="38">
        <v>189495</v>
      </c>
      <c r="D224" s="38" t="b">
        <v>0</v>
      </c>
      <c r="E224" s="38">
        <v>24</v>
      </c>
      <c r="F224" s="38" t="s">
        <v>399</v>
      </c>
      <c r="G224" s="38" t="s">
        <v>400</v>
      </c>
      <c r="H224" s="39">
        <v>44295</v>
      </c>
      <c r="I224" s="38">
        <v>26</v>
      </c>
      <c r="J224" s="38" t="s">
        <v>56</v>
      </c>
      <c r="K224" s="38" t="s">
        <v>57</v>
      </c>
      <c r="L224" s="38" t="s">
        <v>58</v>
      </c>
      <c r="M224" s="38">
        <v>0.58799999999999997</v>
      </c>
      <c r="N224" s="38">
        <v>0.60799999999999998</v>
      </c>
      <c r="O224" s="38">
        <v>-7.0620000000000003</v>
      </c>
      <c r="P224" s="38">
        <v>3.6499999999999998E-2</v>
      </c>
      <c r="Q224" s="38">
        <v>0.22500000000000001</v>
      </c>
      <c r="R224" s="38">
        <v>0</v>
      </c>
      <c r="S224" s="38">
        <v>9.1999999999999998E-2</v>
      </c>
      <c r="T224" s="38">
        <v>0.50800000000000001</v>
      </c>
    </row>
    <row r="225" spans="1:20" x14ac:dyDescent="0.15">
      <c r="A225" s="36" t="s">
        <v>447</v>
      </c>
      <c r="B225" s="37" t="s">
        <v>448</v>
      </c>
      <c r="C225" s="38">
        <v>208608</v>
      </c>
      <c r="D225" s="38" t="b">
        <v>0</v>
      </c>
      <c r="E225" s="38">
        <v>25</v>
      </c>
      <c r="F225" s="38" t="s">
        <v>399</v>
      </c>
      <c r="G225" s="38" t="s">
        <v>400</v>
      </c>
      <c r="H225" s="39">
        <v>44295</v>
      </c>
      <c r="I225" s="38">
        <v>26</v>
      </c>
      <c r="J225" s="38" t="s">
        <v>56</v>
      </c>
      <c r="K225" s="38" t="s">
        <v>57</v>
      </c>
      <c r="L225" s="38" t="s">
        <v>58</v>
      </c>
      <c r="M225" s="38">
        <v>0.56299999999999994</v>
      </c>
      <c r="N225" s="38">
        <v>0.47299999999999998</v>
      </c>
      <c r="O225" s="38">
        <v>-11.548</v>
      </c>
      <c r="P225" s="38">
        <v>5.0299999999999997E-2</v>
      </c>
      <c r="Q225" s="38">
        <v>0.51400000000000001</v>
      </c>
      <c r="R225" s="38">
        <v>1.2E-5</v>
      </c>
      <c r="S225" s="38">
        <v>0.109</v>
      </c>
      <c r="T225" s="38">
        <v>0.40500000000000003</v>
      </c>
    </row>
    <row r="226" spans="1:20" x14ac:dyDescent="0.15">
      <c r="A226" s="36" t="s">
        <v>449</v>
      </c>
      <c r="B226" s="37" t="s">
        <v>450</v>
      </c>
      <c r="C226" s="38">
        <v>242157</v>
      </c>
      <c r="D226" s="38" t="b">
        <v>0</v>
      </c>
      <c r="E226" s="38">
        <v>26</v>
      </c>
      <c r="F226" s="38" t="s">
        <v>399</v>
      </c>
      <c r="G226" s="38" t="s">
        <v>400</v>
      </c>
      <c r="H226" s="39">
        <v>44295</v>
      </c>
      <c r="I226" s="38">
        <v>26</v>
      </c>
      <c r="J226" s="38" t="s">
        <v>56</v>
      </c>
      <c r="K226" s="38" t="s">
        <v>57</v>
      </c>
      <c r="L226" s="38" t="s">
        <v>58</v>
      </c>
      <c r="M226" s="38">
        <v>0.624</v>
      </c>
      <c r="N226" s="38">
        <v>0.624</v>
      </c>
      <c r="O226" s="38">
        <v>-7.86</v>
      </c>
      <c r="P226" s="38">
        <v>5.3900000000000003E-2</v>
      </c>
      <c r="Q226" s="38">
        <v>0.33400000000000002</v>
      </c>
      <c r="R226" s="38">
        <v>0</v>
      </c>
      <c r="S226" s="38">
        <v>9.9500000000000005E-2</v>
      </c>
      <c r="T226" s="38">
        <v>0.52700000000000002</v>
      </c>
    </row>
    <row r="227" spans="1:20" x14ac:dyDescent="0.15">
      <c r="A227" s="36" t="s">
        <v>451</v>
      </c>
      <c r="B227" s="37" t="s">
        <v>452</v>
      </c>
      <c r="C227" s="38">
        <v>214706</v>
      </c>
      <c r="D227" s="38" t="b">
        <v>0</v>
      </c>
      <c r="E227" s="38">
        <v>1</v>
      </c>
      <c r="F227" s="38" t="s">
        <v>453</v>
      </c>
      <c r="G227" s="38" t="s">
        <v>454</v>
      </c>
      <c r="H227" s="39">
        <v>44203</v>
      </c>
      <c r="I227" s="38">
        <v>17</v>
      </c>
      <c r="J227" s="38" t="s">
        <v>56</v>
      </c>
      <c r="K227" s="38" t="s">
        <v>57</v>
      </c>
      <c r="L227" s="38" t="s">
        <v>58</v>
      </c>
      <c r="M227" s="38">
        <v>0.39200000000000002</v>
      </c>
      <c r="N227" s="38">
        <v>0.57399999999999995</v>
      </c>
      <c r="O227" s="38">
        <v>-9.1950000000000003</v>
      </c>
      <c r="P227" s="38">
        <v>0.17</v>
      </c>
      <c r="Q227" s="38">
        <v>0.83299999999999996</v>
      </c>
      <c r="R227" s="38">
        <v>1.7899999999999999E-3</v>
      </c>
      <c r="S227" s="38">
        <v>0.14499999999999999</v>
      </c>
      <c r="T227" s="38">
        <v>0.52900000000000003</v>
      </c>
    </row>
    <row r="228" spans="1:20" x14ac:dyDescent="0.15">
      <c r="A228" s="36" t="s">
        <v>455</v>
      </c>
      <c r="B228" s="37" t="s">
        <v>456</v>
      </c>
      <c r="C228" s="38">
        <v>244000</v>
      </c>
      <c r="D228" s="38" t="b">
        <v>1</v>
      </c>
      <c r="E228" s="38">
        <v>2</v>
      </c>
      <c r="F228" s="38" t="s">
        <v>453</v>
      </c>
      <c r="G228" s="38" t="s">
        <v>454</v>
      </c>
      <c r="H228" s="39">
        <v>44203</v>
      </c>
      <c r="I228" s="38">
        <v>17</v>
      </c>
      <c r="J228" s="38" t="s">
        <v>56</v>
      </c>
      <c r="K228" s="38" t="s">
        <v>57</v>
      </c>
      <c r="L228" s="38" t="s">
        <v>58</v>
      </c>
      <c r="M228" s="38">
        <v>0.46200000000000002</v>
      </c>
      <c r="N228" s="38">
        <v>0.24</v>
      </c>
      <c r="O228" s="38">
        <v>-12.077</v>
      </c>
      <c r="P228" s="38">
        <v>3.7699999999999997E-2</v>
      </c>
      <c r="Q228" s="38">
        <v>0.92</v>
      </c>
      <c r="R228" s="38">
        <v>0</v>
      </c>
      <c r="S228" s="38">
        <v>0.113</v>
      </c>
      <c r="T228" s="38">
        <v>0.32</v>
      </c>
    </row>
    <row r="229" spans="1:20" x14ac:dyDescent="0.15">
      <c r="A229" s="36" t="s">
        <v>457</v>
      </c>
      <c r="B229" s="37" t="s">
        <v>458</v>
      </c>
      <c r="C229" s="38">
        <v>185320</v>
      </c>
      <c r="D229" s="38" t="b">
        <v>1</v>
      </c>
      <c r="E229" s="38">
        <v>3</v>
      </c>
      <c r="F229" s="38" t="s">
        <v>453</v>
      </c>
      <c r="G229" s="38" t="s">
        <v>454</v>
      </c>
      <c r="H229" s="39">
        <v>44203</v>
      </c>
      <c r="I229" s="38">
        <v>17</v>
      </c>
      <c r="J229" s="38" t="s">
        <v>56</v>
      </c>
      <c r="K229" s="38" t="s">
        <v>57</v>
      </c>
      <c r="L229" s="38" t="s">
        <v>58</v>
      </c>
      <c r="M229" s="38">
        <v>0.51200000000000001</v>
      </c>
      <c r="N229" s="38">
        <v>0.46200000000000002</v>
      </c>
      <c r="O229" s="38">
        <v>-10.491</v>
      </c>
      <c r="P229" s="38">
        <v>4.0800000000000003E-2</v>
      </c>
      <c r="Q229" s="38">
        <v>0.83</v>
      </c>
      <c r="R229" s="38">
        <v>0.16600000000000001</v>
      </c>
      <c r="S229" s="38">
        <v>0.121</v>
      </c>
      <c r="T229" s="38">
        <v>0.35299999999999998</v>
      </c>
    </row>
    <row r="230" spans="1:20" x14ac:dyDescent="0.15">
      <c r="A230" s="36" t="s">
        <v>459</v>
      </c>
      <c r="B230" s="37" t="s">
        <v>460</v>
      </c>
      <c r="C230" s="38">
        <v>229840</v>
      </c>
      <c r="D230" s="38" t="b">
        <v>0</v>
      </c>
      <c r="E230" s="38">
        <v>4</v>
      </c>
      <c r="F230" s="38" t="s">
        <v>453</v>
      </c>
      <c r="G230" s="38" t="s">
        <v>454</v>
      </c>
      <c r="H230" s="39">
        <v>44203</v>
      </c>
      <c r="I230" s="38">
        <v>17</v>
      </c>
      <c r="J230" s="38" t="s">
        <v>56</v>
      </c>
      <c r="K230" s="38" t="s">
        <v>57</v>
      </c>
      <c r="L230" s="38" t="s">
        <v>58</v>
      </c>
      <c r="M230" s="38">
        <v>0.57499999999999996</v>
      </c>
      <c r="N230" s="38">
        <v>0.434</v>
      </c>
      <c r="O230" s="38">
        <v>-8.1929999999999996</v>
      </c>
      <c r="P230" s="38">
        <v>3.1199999999999999E-2</v>
      </c>
      <c r="Q230" s="38">
        <v>0.73499999999999999</v>
      </c>
      <c r="R230" s="38">
        <v>6.5900000000000003E-5</v>
      </c>
      <c r="S230" s="38">
        <v>0.105</v>
      </c>
      <c r="T230" s="38">
        <v>0.34799999999999998</v>
      </c>
    </row>
    <row r="231" spans="1:20" x14ac:dyDescent="0.15">
      <c r="A231" s="36" t="s">
        <v>461</v>
      </c>
      <c r="B231" s="37" t="s">
        <v>462</v>
      </c>
      <c r="C231" s="38">
        <v>245440</v>
      </c>
      <c r="D231" s="38" t="b">
        <v>1</v>
      </c>
      <c r="E231" s="38">
        <v>5</v>
      </c>
      <c r="F231" s="38" t="s">
        <v>453</v>
      </c>
      <c r="G231" s="38" t="s">
        <v>454</v>
      </c>
      <c r="H231" s="39">
        <v>44203</v>
      </c>
      <c r="I231" s="38">
        <v>17</v>
      </c>
      <c r="J231" s="38" t="s">
        <v>56</v>
      </c>
      <c r="K231" s="38" t="s">
        <v>57</v>
      </c>
      <c r="L231" s="38" t="s">
        <v>58</v>
      </c>
      <c r="M231" s="38">
        <v>0.316</v>
      </c>
      <c r="N231" s="38">
        <v>0.36099999999999999</v>
      </c>
      <c r="O231" s="38">
        <v>-10.381</v>
      </c>
      <c r="P231" s="38">
        <v>4.8800000000000003E-2</v>
      </c>
      <c r="Q231" s="38">
        <v>0.878</v>
      </c>
      <c r="R231" s="38">
        <v>2.6699999999999998E-5</v>
      </c>
      <c r="S231" s="38">
        <v>7.9699999999999993E-2</v>
      </c>
      <c r="T231" s="38">
        <v>0.221</v>
      </c>
    </row>
    <row r="232" spans="1:20" x14ac:dyDescent="0.15">
      <c r="A232" s="36" t="s">
        <v>463</v>
      </c>
      <c r="B232" s="37" t="s">
        <v>464</v>
      </c>
      <c r="C232" s="38">
        <v>215626</v>
      </c>
      <c r="D232" s="38" t="b">
        <v>0</v>
      </c>
      <c r="E232" s="38">
        <v>6</v>
      </c>
      <c r="F232" s="38" t="s">
        <v>453</v>
      </c>
      <c r="G232" s="38" t="s">
        <v>454</v>
      </c>
      <c r="H232" s="39">
        <v>44203</v>
      </c>
      <c r="I232" s="38">
        <v>17</v>
      </c>
      <c r="J232" s="38" t="s">
        <v>56</v>
      </c>
      <c r="K232" s="38" t="s">
        <v>57</v>
      </c>
      <c r="L232" s="38" t="s">
        <v>58</v>
      </c>
      <c r="M232" s="38">
        <v>0.54600000000000004</v>
      </c>
      <c r="N232" s="38">
        <v>0.61299999999999999</v>
      </c>
      <c r="O232" s="38">
        <v>-7.5890000000000004</v>
      </c>
      <c r="P232" s="38">
        <v>2.64E-2</v>
      </c>
      <c r="Q232" s="38">
        <v>0.41799999999999998</v>
      </c>
      <c r="R232" s="38">
        <v>0</v>
      </c>
      <c r="S232" s="38">
        <v>0.10299999999999999</v>
      </c>
      <c r="T232" s="38">
        <v>0.53500000000000003</v>
      </c>
    </row>
    <row r="233" spans="1:20" x14ac:dyDescent="0.15">
      <c r="A233" s="36" t="s">
        <v>465</v>
      </c>
      <c r="B233" s="37" t="s">
        <v>466</v>
      </c>
      <c r="C233" s="38">
        <v>315146</v>
      </c>
      <c r="D233" s="38" t="b">
        <v>1</v>
      </c>
      <c r="E233" s="38">
        <v>7</v>
      </c>
      <c r="F233" s="38" t="s">
        <v>453</v>
      </c>
      <c r="G233" s="38" t="s">
        <v>454</v>
      </c>
      <c r="H233" s="39">
        <v>44203</v>
      </c>
      <c r="I233" s="38">
        <v>17</v>
      </c>
      <c r="J233" s="38" t="s">
        <v>56</v>
      </c>
      <c r="K233" s="38" t="s">
        <v>57</v>
      </c>
      <c r="L233" s="38" t="s">
        <v>58</v>
      </c>
      <c r="M233" s="38">
        <v>0.55900000000000005</v>
      </c>
      <c r="N233" s="38">
        <v>0.33400000000000002</v>
      </c>
      <c r="O233" s="38">
        <v>-10.733000000000001</v>
      </c>
      <c r="P233" s="38">
        <v>3.7600000000000001E-2</v>
      </c>
      <c r="Q233" s="38">
        <v>0.87</v>
      </c>
      <c r="R233" s="38">
        <v>0</v>
      </c>
      <c r="S233" s="38">
        <v>0.114</v>
      </c>
      <c r="T233" s="38">
        <v>0.21099999999999999</v>
      </c>
    </row>
    <row r="234" spans="1:20" x14ac:dyDescent="0.15">
      <c r="A234" s="36" t="s">
        <v>467</v>
      </c>
      <c r="B234" s="37" t="s">
        <v>468</v>
      </c>
      <c r="C234" s="38">
        <v>225880</v>
      </c>
      <c r="D234" s="38" t="b">
        <v>0</v>
      </c>
      <c r="E234" s="38">
        <v>8</v>
      </c>
      <c r="F234" s="38" t="s">
        <v>453</v>
      </c>
      <c r="G234" s="38" t="s">
        <v>454</v>
      </c>
      <c r="H234" s="39">
        <v>44203</v>
      </c>
      <c r="I234" s="38">
        <v>17</v>
      </c>
      <c r="J234" s="38" t="s">
        <v>56</v>
      </c>
      <c r="K234" s="38" t="s">
        <v>57</v>
      </c>
      <c r="L234" s="38" t="s">
        <v>58</v>
      </c>
      <c r="M234" s="38">
        <v>0.60499999999999998</v>
      </c>
      <c r="N234" s="38">
        <v>0.48799999999999999</v>
      </c>
      <c r="O234" s="38">
        <v>-8.3219999999999992</v>
      </c>
      <c r="P234" s="38">
        <v>2.64E-2</v>
      </c>
      <c r="Q234" s="38">
        <v>0.69599999999999995</v>
      </c>
      <c r="R234" s="38">
        <v>0</v>
      </c>
      <c r="S234" s="38">
        <v>0.129</v>
      </c>
      <c r="T234" s="38">
        <v>0.35399999999999998</v>
      </c>
    </row>
    <row r="235" spans="1:20" x14ac:dyDescent="0.15">
      <c r="A235" s="36" t="s">
        <v>469</v>
      </c>
      <c r="B235" s="37" t="s">
        <v>470</v>
      </c>
      <c r="C235" s="38">
        <v>275320</v>
      </c>
      <c r="D235" s="38" t="b">
        <v>0</v>
      </c>
      <c r="E235" s="38">
        <v>9</v>
      </c>
      <c r="F235" s="38" t="s">
        <v>453</v>
      </c>
      <c r="G235" s="38" t="s">
        <v>454</v>
      </c>
      <c r="H235" s="39">
        <v>44203</v>
      </c>
      <c r="I235" s="38">
        <v>17</v>
      </c>
      <c r="J235" s="38" t="s">
        <v>56</v>
      </c>
      <c r="K235" s="38" t="s">
        <v>57</v>
      </c>
      <c r="L235" s="38" t="s">
        <v>58</v>
      </c>
      <c r="M235" s="38">
        <v>0.53700000000000003</v>
      </c>
      <c r="N235" s="38">
        <v>0.53700000000000003</v>
      </c>
      <c r="O235" s="38">
        <v>-11.266</v>
      </c>
      <c r="P235" s="38">
        <v>6.1699999999999998E-2</v>
      </c>
      <c r="Q235" s="38">
        <v>0.81899999999999995</v>
      </c>
      <c r="R235" s="38">
        <v>9.0399999999999996E-4</v>
      </c>
      <c r="S235" s="38">
        <v>0.14199999999999999</v>
      </c>
      <c r="T235" s="38">
        <v>0.29199999999999998</v>
      </c>
    </row>
    <row r="236" spans="1:20" x14ac:dyDescent="0.15">
      <c r="A236" s="36" t="s">
        <v>471</v>
      </c>
      <c r="B236" s="37" t="s">
        <v>472</v>
      </c>
      <c r="C236" s="38">
        <v>260440</v>
      </c>
      <c r="D236" s="38" t="b">
        <v>1</v>
      </c>
      <c r="E236" s="38">
        <v>10</v>
      </c>
      <c r="F236" s="38" t="s">
        <v>453</v>
      </c>
      <c r="G236" s="38" t="s">
        <v>454</v>
      </c>
      <c r="H236" s="39">
        <v>44203</v>
      </c>
      <c r="I236" s="38">
        <v>17</v>
      </c>
      <c r="J236" s="38" t="s">
        <v>56</v>
      </c>
      <c r="K236" s="38" t="s">
        <v>57</v>
      </c>
      <c r="L236" s="38" t="s">
        <v>58</v>
      </c>
      <c r="M236" s="38">
        <v>0.51500000000000001</v>
      </c>
      <c r="N236" s="38">
        <v>0.54500000000000004</v>
      </c>
      <c r="O236" s="38">
        <v>-9.2769999999999992</v>
      </c>
      <c r="P236" s="38">
        <v>3.5299999999999998E-2</v>
      </c>
      <c r="Q236" s="38">
        <v>0.85499999999999998</v>
      </c>
      <c r="R236" s="38">
        <v>1.9700000000000001E-5</v>
      </c>
      <c r="S236" s="38">
        <v>9.2100000000000001E-2</v>
      </c>
      <c r="T236" s="38">
        <v>0.53500000000000003</v>
      </c>
    </row>
    <row r="237" spans="1:20" x14ac:dyDescent="0.15">
      <c r="A237" s="36" t="s">
        <v>473</v>
      </c>
      <c r="B237" s="37" t="s">
        <v>474</v>
      </c>
      <c r="C237" s="38">
        <v>275040</v>
      </c>
      <c r="D237" s="38" t="b">
        <v>1</v>
      </c>
      <c r="E237" s="38">
        <v>11</v>
      </c>
      <c r="F237" s="38" t="s">
        <v>453</v>
      </c>
      <c r="G237" s="38" t="s">
        <v>454</v>
      </c>
      <c r="H237" s="39">
        <v>44203</v>
      </c>
      <c r="I237" s="38">
        <v>17</v>
      </c>
      <c r="J237" s="38" t="s">
        <v>56</v>
      </c>
      <c r="K237" s="38" t="s">
        <v>57</v>
      </c>
      <c r="L237" s="38" t="s">
        <v>58</v>
      </c>
      <c r="M237" s="38">
        <v>0.60399999999999998</v>
      </c>
      <c r="N237" s="38">
        <v>0.51700000000000002</v>
      </c>
      <c r="O237" s="38">
        <v>-9.0139999999999993</v>
      </c>
      <c r="P237" s="38">
        <v>3.4700000000000002E-2</v>
      </c>
      <c r="Q237" s="38">
        <v>0.76800000000000002</v>
      </c>
      <c r="R237" s="38">
        <v>1.55E-4</v>
      </c>
      <c r="S237" s="38">
        <v>0.123</v>
      </c>
      <c r="T237" s="38">
        <v>0.51100000000000001</v>
      </c>
    </row>
    <row r="238" spans="1:20" x14ac:dyDescent="0.15">
      <c r="A238" s="36" t="s">
        <v>475</v>
      </c>
      <c r="B238" s="37" t="s">
        <v>476</v>
      </c>
      <c r="C238" s="38">
        <v>215920</v>
      </c>
      <c r="D238" s="38" t="b">
        <v>0</v>
      </c>
      <c r="E238" s="38">
        <v>12</v>
      </c>
      <c r="F238" s="38" t="s">
        <v>453</v>
      </c>
      <c r="G238" s="38" t="s">
        <v>454</v>
      </c>
      <c r="H238" s="39">
        <v>44203</v>
      </c>
      <c r="I238" s="38">
        <v>17</v>
      </c>
      <c r="J238" s="38" t="s">
        <v>56</v>
      </c>
      <c r="K238" s="38" t="s">
        <v>57</v>
      </c>
      <c r="L238" s="38" t="s">
        <v>58</v>
      </c>
      <c r="M238" s="38">
        <v>0.54600000000000004</v>
      </c>
      <c r="N238" s="38">
        <v>0.73</v>
      </c>
      <c r="O238" s="38">
        <v>-7.7039999999999997</v>
      </c>
      <c r="P238" s="38">
        <v>4.1700000000000001E-2</v>
      </c>
      <c r="Q238" s="38">
        <v>0.66</v>
      </c>
      <c r="R238" s="38">
        <v>0.17899999999999999</v>
      </c>
      <c r="S238" s="38">
        <v>9.7199999999999995E-2</v>
      </c>
      <c r="T238" s="38">
        <v>0.57299999999999995</v>
      </c>
    </row>
    <row r="239" spans="1:20" x14ac:dyDescent="0.15">
      <c r="A239" s="36" t="s">
        <v>477</v>
      </c>
      <c r="B239" s="37" t="s">
        <v>478</v>
      </c>
      <c r="C239" s="38">
        <v>257773</v>
      </c>
      <c r="D239" s="38" t="b">
        <v>0</v>
      </c>
      <c r="E239" s="38">
        <v>13</v>
      </c>
      <c r="F239" s="38" t="s">
        <v>453</v>
      </c>
      <c r="G239" s="38" t="s">
        <v>454</v>
      </c>
      <c r="H239" s="39">
        <v>44203</v>
      </c>
      <c r="I239" s="38">
        <v>17</v>
      </c>
      <c r="J239" s="38" t="s">
        <v>56</v>
      </c>
      <c r="K239" s="38" t="s">
        <v>57</v>
      </c>
      <c r="L239" s="38" t="s">
        <v>58</v>
      </c>
      <c r="M239" s="38">
        <v>0.53500000000000003</v>
      </c>
      <c r="N239" s="38">
        <v>0.56100000000000005</v>
      </c>
      <c r="O239" s="38">
        <v>-11.609</v>
      </c>
      <c r="P239" s="38">
        <v>4.8399999999999999E-2</v>
      </c>
      <c r="Q239" s="38">
        <v>0.876</v>
      </c>
      <c r="R239" s="38">
        <v>1.36E-4</v>
      </c>
      <c r="S239" s="38">
        <v>0.115</v>
      </c>
      <c r="T239" s="38">
        <v>0.28699999999999998</v>
      </c>
    </row>
    <row r="240" spans="1:20" x14ac:dyDescent="0.15">
      <c r="A240" s="36" t="s">
        <v>479</v>
      </c>
      <c r="B240" s="37" t="s">
        <v>480</v>
      </c>
      <c r="C240" s="38">
        <v>180653</v>
      </c>
      <c r="D240" s="38" t="b">
        <v>0</v>
      </c>
      <c r="E240" s="38">
        <v>14</v>
      </c>
      <c r="F240" s="38" t="s">
        <v>453</v>
      </c>
      <c r="G240" s="38" t="s">
        <v>454</v>
      </c>
      <c r="H240" s="39">
        <v>44203</v>
      </c>
      <c r="I240" s="38">
        <v>17</v>
      </c>
      <c r="J240" s="38" t="s">
        <v>56</v>
      </c>
      <c r="K240" s="38" t="s">
        <v>57</v>
      </c>
      <c r="L240" s="38" t="s">
        <v>58</v>
      </c>
      <c r="M240" s="38">
        <v>0.68899999999999995</v>
      </c>
      <c r="N240" s="38">
        <v>0.70399999999999996</v>
      </c>
      <c r="O240" s="38">
        <v>-10.813000000000001</v>
      </c>
      <c r="P240" s="38">
        <v>0.245</v>
      </c>
      <c r="Q240" s="38">
        <v>0.83499999999999996</v>
      </c>
      <c r="R240" s="38">
        <v>4.8300000000000003E-6</v>
      </c>
      <c r="S240" s="38">
        <v>0.13400000000000001</v>
      </c>
      <c r="T240" s="38">
        <v>0.92</v>
      </c>
    </row>
    <row r="241" spans="1:20" x14ac:dyDescent="0.15">
      <c r="A241" s="36" t="s">
        <v>481</v>
      </c>
      <c r="B241" s="37" t="s">
        <v>482</v>
      </c>
      <c r="C241" s="38">
        <v>304106</v>
      </c>
      <c r="D241" s="38" t="b">
        <v>0</v>
      </c>
      <c r="E241" s="38">
        <v>15</v>
      </c>
      <c r="F241" s="38" t="s">
        <v>453</v>
      </c>
      <c r="G241" s="38" t="s">
        <v>454</v>
      </c>
      <c r="H241" s="39">
        <v>44203</v>
      </c>
      <c r="I241" s="38">
        <v>17</v>
      </c>
      <c r="J241" s="38" t="s">
        <v>56</v>
      </c>
      <c r="K241" s="38" t="s">
        <v>57</v>
      </c>
      <c r="L241" s="38" t="s">
        <v>58</v>
      </c>
      <c r="M241" s="38">
        <v>0.39</v>
      </c>
      <c r="N241" s="38">
        <v>0.27</v>
      </c>
      <c r="O241" s="38">
        <v>-10.673</v>
      </c>
      <c r="P241" s="38">
        <v>3.0800000000000001E-2</v>
      </c>
      <c r="Q241" s="38">
        <v>0.93700000000000006</v>
      </c>
      <c r="R241" s="38">
        <v>2.2699999999999999E-3</v>
      </c>
      <c r="S241" s="38">
        <v>0.111</v>
      </c>
      <c r="T241" s="38">
        <v>0.32</v>
      </c>
    </row>
    <row r="242" spans="1:20" x14ac:dyDescent="0.15">
      <c r="A242" s="36" t="s">
        <v>483</v>
      </c>
      <c r="B242" s="37" t="s">
        <v>484</v>
      </c>
      <c r="C242" s="38">
        <v>245026</v>
      </c>
      <c r="D242" s="38" t="b">
        <v>0</v>
      </c>
      <c r="E242" s="38">
        <v>16</v>
      </c>
      <c r="F242" s="38" t="s">
        <v>453</v>
      </c>
      <c r="G242" s="38" t="s">
        <v>454</v>
      </c>
      <c r="H242" s="39">
        <v>44203</v>
      </c>
      <c r="I242" s="38">
        <v>17</v>
      </c>
      <c r="J242" s="38" t="s">
        <v>56</v>
      </c>
      <c r="K242" s="38" t="s">
        <v>57</v>
      </c>
      <c r="L242" s="38" t="s">
        <v>58</v>
      </c>
      <c r="M242" s="38">
        <v>0.58099999999999996</v>
      </c>
      <c r="N242" s="38">
        <v>0.61899999999999999</v>
      </c>
      <c r="O242" s="38">
        <v>-6.524</v>
      </c>
      <c r="P242" s="38">
        <v>2.8199999999999999E-2</v>
      </c>
      <c r="Q242" s="38">
        <v>0.76900000000000002</v>
      </c>
      <c r="R242" s="38">
        <v>1.06E-4</v>
      </c>
      <c r="S242" s="38">
        <v>0.11700000000000001</v>
      </c>
      <c r="T242" s="38">
        <v>0.64500000000000002</v>
      </c>
    </row>
    <row r="243" spans="1:20" x14ac:dyDescent="0.15">
      <c r="A243" s="36" t="s">
        <v>485</v>
      </c>
      <c r="B243" s="37" t="s">
        <v>486</v>
      </c>
      <c r="C243" s="38">
        <v>254640</v>
      </c>
      <c r="D243" s="38" t="b">
        <v>0</v>
      </c>
      <c r="E243" s="38">
        <v>17</v>
      </c>
      <c r="F243" s="38" t="s">
        <v>453</v>
      </c>
      <c r="G243" s="38" t="s">
        <v>454</v>
      </c>
      <c r="H243" s="39">
        <v>44203</v>
      </c>
      <c r="I243" s="38">
        <v>17</v>
      </c>
      <c r="J243" s="38" t="s">
        <v>56</v>
      </c>
      <c r="K243" s="38" t="s">
        <v>57</v>
      </c>
      <c r="L243" s="38" t="s">
        <v>58</v>
      </c>
      <c r="M243" s="38">
        <v>0.59199999999999997</v>
      </c>
      <c r="N243" s="38">
        <v>0.41</v>
      </c>
      <c r="O243" s="38">
        <v>-12.426</v>
      </c>
      <c r="P243" s="38">
        <v>3.9699999999999999E-2</v>
      </c>
      <c r="Q243" s="38">
        <v>0.80100000000000005</v>
      </c>
      <c r="R243" s="38">
        <v>1.3900000000000001E-5</v>
      </c>
      <c r="S243" s="38">
        <v>0.09</v>
      </c>
      <c r="T243" s="38">
        <v>0.41599999999999998</v>
      </c>
    </row>
    <row r="244" spans="1:20" x14ac:dyDescent="0.15">
      <c r="A244" s="36" t="s">
        <v>451</v>
      </c>
      <c r="B244" s="37" t="s">
        <v>487</v>
      </c>
      <c r="C244" s="38">
        <v>214706</v>
      </c>
      <c r="D244" s="38" t="b">
        <v>0</v>
      </c>
      <c r="E244" s="38">
        <v>1</v>
      </c>
      <c r="F244" s="38" t="s">
        <v>488</v>
      </c>
      <c r="G244" s="38" t="s">
        <v>489</v>
      </c>
      <c r="H244" s="39">
        <v>44176</v>
      </c>
      <c r="I244" s="38">
        <v>15</v>
      </c>
      <c r="J244" s="38" t="s">
        <v>56</v>
      </c>
      <c r="K244" s="38" t="s">
        <v>57</v>
      </c>
      <c r="L244" s="38" t="s">
        <v>58</v>
      </c>
      <c r="M244" s="38">
        <v>0.39200000000000002</v>
      </c>
      <c r="N244" s="38">
        <v>0.57399999999999995</v>
      </c>
      <c r="O244" s="38">
        <v>-9.1950000000000003</v>
      </c>
      <c r="P244" s="38">
        <v>0.17</v>
      </c>
      <c r="Q244" s="38">
        <v>0.83299999999999996</v>
      </c>
      <c r="R244" s="38">
        <v>1.7899999999999999E-3</v>
      </c>
      <c r="S244" s="38">
        <v>0.14499999999999999</v>
      </c>
      <c r="T244" s="38">
        <v>0.52900000000000003</v>
      </c>
    </row>
    <row r="245" spans="1:20" x14ac:dyDescent="0.15">
      <c r="A245" s="36" t="s">
        <v>455</v>
      </c>
      <c r="B245" s="37" t="s">
        <v>490</v>
      </c>
      <c r="C245" s="38">
        <v>244000</v>
      </c>
      <c r="D245" s="38" t="b">
        <v>1</v>
      </c>
      <c r="E245" s="38">
        <v>2</v>
      </c>
      <c r="F245" s="38" t="s">
        <v>488</v>
      </c>
      <c r="G245" s="38" t="s">
        <v>489</v>
      </c>
      <c r="H245" s="39">
        <v>44176</v>
      </c>
      <c r="I245" s="38">
        <v>15</v>
      </c>
      <c r="J245" s="38" t="s">
        <v>56</v>
      </c>
      <c r="K245" s="38" t="s">
        <v>57</v>
      </c>
      <c r="L245" s="38" t="s">
        <v>58</v>
      </c>
      <c r="M245" s="38">
        <v>0.46200000000000002</v>
      </c>
      <c r="N245" s="38">
        <v>0.24</v>
      </c>
      <c r="O245" s="38">
        <v>-12.077</v>
      </c>
      <c r="P245" s="38">
        <v>3.7699999999999997E-2</v>
      </c>
      <c r="Q245" s="38">
        <v>0.92</v>
      </c>
      <c r="R245" s="38">
        <v>0</v>
      </c>
      <c r="S245" s="38">
        <v>0.113</v>
      </c>
      <c r="T245" s="38">
        <v>0.32</v>
      </c>
    </row>
    <row r="246" spans="1:20" x14ac:dyDescent="0.15">
      <c r="A246" s="36" t="s">
        <v>457</v>
      </c>
      <c r="B246" s="37" t="s">
        <v>491</v>
      </c>
      <c r="C246" s="38">
        <v>185320</v>
      </c>
      <c r="D246" s="38" t="b">
        <v>1</v>
      </c>
      <c r="E246" s="38">
        <v>3</v>
      </c>
      <c r="F246" s="38" t="s">
        <v>488</v>
      </c>
      <c r="G246" s="38" t="s">
        <v>489</v>
      </c>
      <c r="H246" s="39">
        <v>44176</v>
      </c>
      <c r="I246" s="38">
        <v>15</v>
      </c>
      <c r="J246" s="38" t="s">
        <v>56</v>
      </c>
      <c r="K246" s="38" t="s">
        <v>57</v>
      </c>
      <c r="L246" s="38" t="s">
        <v>58</v>
      </c>
      <c r="M246" s="38">
        <v>0.51200000000000001</v>
      </c>
      <c r="N246" s="38">
        <v>0.46200000000000002</v>
      </c>
      <c r="O246" s="38">
        <v>-10.491</v>
      </c>
      <c r="P246" s="38">
        <v>4.0800000000000003E-2</v>
      </c>
      <c r="Q246" s="38">
        <v>0.83</v>
      </c>
      <c r="R246" s="38">
        <v>0.16600000000000001</v>
      </c>
      <c r="S246" s="38">
        <v>0.121</v>
      </c>
      <c r="T246" s="38">
        <v>0.35299999999999998</v>
      </c>
    </row>
    <row r="247" spans="1:20" x14ac:dyDescent="0.15">
      <c r="A247" s="36" t="s">
        <v>459</v>
      </c>
      <c r="B247" s="37" t="s">
        <v>492</v>
      </c>
      <c r="C247" s="38">
        <v>229840</v>
      </c>
      <c r="D247" s="38" t="b">
        <v>0</v>
      </c>
      <c r="E247" s="38">
        <v>4</v>
      </c>
      <c r="F247" s="38" t="s">
        <v>488</v>
      </c>
      <c r="G247" s="38" t="s">
        <v>489</v>
      </c>
      <c r="H247" s="39">
        <v>44176</v>
      </c>
      <c r="I247" s="38">
        <v>15</v>
      </c>
      <c r="J247" s="38" t="s">
        <v>56</v>
      </c>
      <c r="K247" s="38" t="s">
        <v>57</v>
      </c>
      <c r="L247" s="38" t="s">
        <v>58</v>
      </c>
      <c r="M247" s="38">
        <v>0.57499999999999996</v>
      </c>
      <c r="N247" s="38">
        <v>0.434</v>
      </c>
      <c r="O247" s="38">
        <v>-8.1929999999999996</v>
      </c>
      <c r="P247" s="38">
        <v>3.1199999999999999E-2</v>
      </c>
      <c r="Q247" s="38">
        <v>0.73499999999999999</v>
      </c>
      <c r="R247" s="38">
        <v>6.5900000000000003E-5</v>
      </c>
      <c r="S247" s="38">
        <v>0.105</v>
      </c>
      <c r="T247" s="38">
        <v>0.34799999999999998</v>
      </c>
    </row>
    <row r="248" spans="1:20" x14ac:dyDescent="0.15">
      <c r="A248" s="36" t="s">
        <v>461</v>
      </c>
      <c r="B248" s="37" t="s">
        <v>493</v>
      </c>
      <c r="C248" s="38">
        <v>245440</v>
      </c>
      <c r="D248" s="38" t="b">
        <v>1</v>
      </c>
      <c r="E248" s="38">
        <v>5</v>
      </c>
      <c r="F248" s="38" t="s">
        <v>488</v>
      </c>
      <c r="G248" s="38" t="s">
        <v>489</v>
      </c>
      <c r="H248" s="39">
        <v>44176</v>
      </c>
      <c r="I248" s="38">
        <v>15</v>
      </c>
      <c r="J248" s="38" t="s">
        <v>56</v>
      </c>
      <c r="K248" s="38" t="s">
        <v>57</v>
      </c>
      <c r="L248" s="38" t="s">
        <v>58</v>
      </c>
      <c r="M248" s="38">
        <v>0.316</v>
      </c>
      <c r="N248" s="38">
        <v>0.36099999999999999</v>
      </c>
      <c r="O248" s="38">
        <v>-10.381</v>
      </c>
      <c r="P248" s="38">
        <v>4.8800000000000003E-2</v>
      </c>
      <c r="Q248" s="38">
        <v>0.878</v>
      </c>
      <c r="R248" s="38">
        <v>2.6699999999999998E-5</v>
      </c>
      <c r="S248" s="38">
        <v>7.9699999999999993E-2</v>
      </c>
      <c r="T248" s="38">
        <v>0.221</v>
      </c>
    </row>
    <row r="249" spans="1:20" x14ac:dyDescent="0.15">
      <c r="A249" s="36" t="s">
        <v>463</v>
      </c>
      <c r="B249" s="37" t="s">
        <v>494</v>
      </c>
      <c r="C249" s="38">
        <v>215626</v>
      </c>
      <c r="D249" s="38" t="b">
        <v>0</v>
      </c>
      <c r="E249" s="38">
        <v>6</v>
      </c>
      <c r="F249" s="38" t="s">
        <v>488</v>
      </c>
      <c r="G249" s="38" t="s">
        <v>489</v>
      </c>
      <c r="H249" s="39">
        <v>44176</v>
      </c>
      <c r="I249" s="38">
        <v>15</v>
      </c>
      <c r="J249" s="38" t="s">
        <v>56</v>
      </c>
      <c r="K249" s="38" t="s">
        <v>57</v>
      </c>
      <c r="L249" s="38" t="s">
        <v>58</v>
      </c>
      <c r="M249" s="38">
        <v>0.54600000000000004</v>
      </c>
      <c r="N249" s="38">
        <v>0.61299999999999999</v>
      </c>
      <c r="O249" s="38">
        <v>-7.5890000000000004</v>
      </c>
      <c r="P249" s="38">
        <v>2.64E-2</v>
      </c>
      <c r="Q249" s="38">
        <v>0.41799999999999998</v>
      </c>
      <c r="R249" s="38">
        <v>0</v>
      </c>
      <c r="S249" s="38">
        <v>0.10299999999999999</v>
      </c>
      <c r="T249" s="38">
        <v>0.53500000000000003</v>
      </c>
    </row>
    <row r="250" spans="1:20" x14ac:dyDescent="0.15">
      <c r="A250" s="36" t="s">
        <v>465</v>
      </c>
      <c r="B250" s="37" t="s">
        <v>495</v>
      </c>
      <c r="C250" s="38">
        <v>315146</v>
      </c>
      <c r="D250" s="38" t="b">
        <v>1</v>
      </c>
      <c r="E250" s="38">
        <v>7</v>
      </c>
      <c r="F250" s="38" t="s">
        <v>488</v>
      </c>
      <c r="G250" s="38" t="s">
        <v>489</v>
      </c>
      <c r="H250" s="39">
        <v>44176</v>
      </c>
      <c r="I250" s="38">
        <v>15</v>
      </c>
      <c r="J250" s="38" t="s">
        <v>56</v>
      </c>
      <c r="K250" s="38" t="s">
        <v>57</v>
      </c>
      <c r="L250" s="38" t="s">
        <v>58</v>
      </c>
      <c r="M250" s="38">
        <v>0.55900000000000005</v>
      </c>
      <c r="N250" s="38">
        <v>0.33400000000000002</v>
      </c>
      <c r="O250" s="38">
        <v>-10.733000000000001</v>
      </c>
      <c r="P250" s="38">
        <v>3.7600000000000001E-2</v>
      </c>
      <c r="Q250" s="38">
        <v>0.87</v>
      </c>
      <c r="R250" s="38">
        <v>0</v>
      </c>
      <c r="S250" s="38">
        <v>0.114</v>
      </c>
      <c r="T250" s="38">
        <v>0.21099999999999999</v>
      </c>
    </row>
    <row r="251" spans="1:20" x14ac:dyDescent="0.15">
      <c r="A251" s="36" t="s">
        <v>467</v>
      </c>
      <c r="B251" s="37" t="s">
        <v>496</v>
      </c>
      <c r="C251" s="38">
        <v>225880</v>
      </c>
      <c r="D251" s="38" t="b">
        <v>0</v>
      </c>
      <c r="E251" s="38">
        <v>8</v>
      </c>
      <c r="F251" s="38" t="s">
        <v>488</v>
      </c>
      <c r="G251" s="38" t="s">
        <v>489</v>
      </c>
      <c r="H251" s="39">
        <v>44176</v>
      </c>
      <c r="I251" s="38">
        <v>15</v>
      </c>
      <c r="J251" s="38" t="s">
        <v>56</v>
      </c>
      <c r="K251" s="38" t="s">
        <v>57</v>
      </c>
      <c r="L251" s="38" t="s">
        <v>58</v>
      </c>
      <c r="M251" s="38">
        <v>0.60499999999999998</v>
      </c>
      <c r="N251" s="38">
        <v>0.48799999999999999</v>
      </c>
      <c r="O251" s="38">
        <v>-8.3219999999999992</v>
      </c>
      <c r="P251" s="38">
        <v>2.64E-2</v>
      </c>
      <c r="Q251" s="38">
        <v>0.69599999999999995</v>
      </c>
      <c r="R251" s="38">
        <v>0</v>
      </c>
      <c r="S251" s="38">
        <v>0.129</v>
      </c>
      <c r="T251" s="38">
        <v>0.35399999999999998</v>
      </c>
    </row>
    <row r="252" spans="1:20" x14ac:dyDescent="0.15">
      <c r="A252" s="36" t="s">
        <v>469</v>
      </c>
      <c r="B252" s="37" t="s">
        <v>497</v>
      </c>
      <c r="C252" s="38">
        <v>275320</v>
      </c>
      <c r="D252" s="38" t="b">
        <v>0</v>
      </c>
      <c r="E252" s="38">
        <v>9</v>
      </c>
      <c r="F252" s="38" t="s">
        <v>488</v>
      </c>
      <c r="G252" s="38" t="s">
        <v>489</v>
      </c>
      <c r="H252" s="39">
        <v>44176</v>
      </c>
      <c r="I252" s="38">
        <v>15</v>
      </c>
      <c r="J252" s="38" t="s">
        <v>56</v>
      </c>
      <c r="K252" s="38" t="s">
        <v>57</v>
      </c>
      <c r="L252" s="38" t="s">
        <v>58</v>
      </c>
      <c r="M252" s="38">
        <v>0.53700000000000003</v>
      </c>
      <c r="N252" s="38">
        <v>0.53700000000000003</v>
      </c>
      <c r="O252" s="38">
        <v>-11.266</v>
      </c>
      <c r="P252" s="38">
        <v>6.1699999999999998E-2</v>
      </c>
      <c r="Q252" s="38">
        <v>0.81899999999999995</v>
      </c>
      <c r="R252" s="38">
        <v>9.0399999999999996E-4</v>
      </c>
      <c r="S252" s="38">
        <v>0.14199999999999999</v>
      </c>
      <c r="T252" s="38">
        <v>0.29199999999999998</v>
      </c>
    </row>
    <row r="253" spans="1:20" x14ac:dyDescent="0.15">
      <c r="A253" s="36" t="s">
        <v>471</v>
      </c>
      <c r="B253" s="37" t="s">
        <v>498</v>
      </c>
      <c r="C253" s="38">
        <v>260440</v>
      </c>
      <c r="D253" s="38" t="b">
        <v>1</v>
      </c>
      <c r="E253" s="38">
        <v>10</v>
      </c>
      <c r="F253" s="38" t="s">
        <v>488</v>
      </c>
      <c r="G253" s="38" t="s">
        <v>489</v>
      </c>
      <c r="H253" s="39">
        <v>44176</v>
      </c>
      <c r="I253" s="38">
        <v>15</v>
      </c>
      <c r="J253" s="38" t="s">
        <v>56</v>
      </c>
      <c r="K253" s="38" t="s">
        <v>57</v>
      </c>
      <c r="L253" s="38" t="s">
        <v>58</v>
      </c>
      <c r="M253" s="38">
        <v>0.51500000000000001</v>
      </c>
      <c r="N253" s="38">
        <v>0.54500000000000004</v>
      </c>
      <c r="O253" s="38">
        <v>-9.2769999999999992</v>
      </c>
      <c r="P253" s="38">
        <v>3.5299999999999998E-2</v>
      </c>
      <c r="Q253" s="38">
        <v>0.85499999999999998</v>
      </c>
      <c r="R253" s="38">
        <v>1.9700000000000001E-5</v>
      </c>
      <c r="S253" s="38">
        <v>9.2100000000000001E-2</v>
      </c>
      <c r="T253" s="38">
        <v>0.53500000000000003</v>
      </c>
    </row>
    <row r="254" spans="1:20" x14ac:dyDescent="0.15">
      <c r="A254" s="36" t="s">
        <v>473</v>
      </c>
      <c r="B254" s="37" t="s">
        <v>499</v>
      </c>
      <c r="C254" s="38">
        <v>275040</v>
      </c>
      <c r="D254" s="38" t="b">
        <v>1</v>
      </c>
      <c r="E254" s="38">
        <v>11</v>
      </c>
      <c r="F254" s="38" t="s">
        <v>488</v>
      </c>
      <c r="G254" s="38" t="s">
        <v>489</v>
      </c>
      <c r="H254" s="39">
        <v>44176</v>
      </c>
      <c r="I254" s="38">
        <v>15</v>
      </c>
      <c r="J254" s="38" t="s">
        <v>56</v>
      </c>
      <c r="K254" s="38" t="s">
        <v>57</v>
      </c>
      <c r="L254" s="38" t="s">
        <v>58</v>
      </c>
      <c r="M254" s="38">
        <v>0.60399999999999998</v>
      </c>
      <c r="N254" s="38">
        <v>0.51700000000000002</v>
      </c>
      <c r="O254" s="38">
        <v>-9.0139999999999993</v>
      </c>
      <c r="P254" s="38">
        <v>3.4700000000000002E-2</v>
      </c>
      <c r="Q254" s="38">
        <v>0.76800000000000002</v>
      </c>
      <c r="R254" s="38">
        <v>1.55E-4</v>
      </c>
      <c r="S254" s="38">
        <v>0.123</v>
      </c>
      <c r="T254" s="38">
        <v>0.51100000000000001</v>
      </c>
    </row>
    <row r="255" spans="1:20" x14ac:dyDescent="0.15">
      <c r="A255" s="36" t="s">
        <v>475</v>
      </c>
      <c r="B255" s="37" t="s">
        <v>500</v>
      </c>
      <c r="C255" s="38">
        <v>215920</v>
      </c>
      <c r="D255" s="38" t="b">
        <v>0</v>
      </c>
      <c r="E255" s="38">
        <v>12</v>
      </c>
      <c r="F255" s="38" t="s">
        <v>488</v>
      </c>
      <c r="G255" s="38" t="s">
        <v>489</v>
      </c>
      <c r="H255" s="39">
        <v>44176</v>
      </c>
      <c r="I255" s="38">
        <v>15</v>
      </c>
      <c r="J255" s="38" t="s">
        <v>56</v>
      </c>
      <c r="K255" s="38" t="s">
        <v>57</v>
      </c>
      <c r="L255" s="38" t="s">
        <v>58</v>
      </c>
      <c r="M255" s="38">
        <v>0.54600000000000004</v>
      </c>
      <c r="N255" s="38">
        <v>0.73</v>
      </c>
      <c r="O255" s="38">
        <v>-7.7039999999999997</v>
      </c>
      <c r="P255" s="38">
        <v>4.1700000000000001E-2</v>
      </c>
      <c r="Q255" s="38">
        <v>0.66</v>
      </c>
      <c r="R255" s="38">
        <v>0.17899999999999999</v>
      </c>
      <c r="S255" s="38">
        <v>9.7199999999999995E-2</v>
      </c>
      <c r="T255" s="38">
        <v>0.57299999999999995</v>
      </c>
    </row>
    <row r="256" spans="1:20" x14ac:dyDescent="0.15">
      <c r="A256" s="36" t="s">
        <v>477</v>
      </c>
      <c r="B256" s="37" t="s">
        <v>501</v>
      </c>
      <c r="C256" s="38">
        <v>257773</v>
      </c>
      <c r="D256" s="38" t="b">
        <v>0</v>
      </c>
      <c r="E256" s="38">
        <v>13</v>
      </c>
      <c r="F256" s="38" t="s">
        <v>488</v>
      </c>
      <c r="G256" s="38" t="s">
        <v>489</v>
      </c>
      <c r="H256" s="39">
        <v>44176</v>
      </c>
      <c r="I256" s="38">
        <v>15</v>
      </c>
      <c r="J256" s="38" t="s">
        <v>56</v>
      </c>
      <c r="K256" s="38" t="s">
        <v>57</v>
      </c>
      <c r="L256" s="38" t="s">
        <v>58</v>
      </c>
      <c r="M256" s="38">
        <v>0.53500000000000003</v>
      </c>
      <c r="N256" s="38">
        <v>0.56100000000000005</v>
      </c>
      <c r="O256" s="38">
        <v>-11.609</v>
      </c>
      <c r="P256" s="38">
        <v>4.8399999999999999E-2</v>
      </c>
      <c r="Q256" s="38">
        <v>0.876</v>
      </c>
      <c r="R256" s="38">
        <v>1.36E-4</v>
      </c>
      <c r="S256" s="38">
        <v>0.115</v>
      </c>
      <c r="T256" s="38">
        <v>0.28699999999999998</v>
      </c>
    </row>
    <row r="257" spans="1:20" x14ac:dyDescent="0.15">
      <c r="A257" s="36" t="s">
        <v>479</v>
      </c>
      <c r="B257" s="37" t="s">
        <v>502</v>
      </c>
      <c r="C257" s="38">
        <v>180653</v>
      </c>
      <c r="D257" s="38" t="b">
        <v>0</v>
      </c>
      <c r="E257" s="38">
        <v>14</v>
      </c>
      <c r="F257" s="38" t="s">
        <v>488</v>
      </c>
      <c r="G257" s="38" t="s">
        <v>489</v>
      </c>
      <c r="H257" s="39">
        <v>44176</v>
      </c>
      <c r="I257" s="38">
        <v>15</v>
      </c>
      <c r="J257" s="38" t="s">
        <v>56</v>
      </c>
      <c r="K257" s="38" t="s">
        <v>57</v>
      </c>
      <c r="L257" s="38" t="s">
        <v>58</v>
      </c>
      <c r="M257" s="38">
        <v>0.68899999999999995</v>
      </c>
      <c r="N257" s="38">
        <v>0.70399999999999996</v>
      </c>
      <c r="O257" s="38">
        <v>-10.813000000000001</v>
      </c>
      <c r="P257" s="38">
        <v>0.245</v>
      </c>
      <c r="Q257" s="38">
        <v>0.83499999999999996</v>
      </c>
      <c r="R257" s="38">
        <v>4.8300000000000003E-6</v>
      </c>
      <c r="S257" s="38">
        <v>0.13400000000000001</v>
      </c>
      <c r="T257" s="38">
        <v>0.92</v>
      </c>
    </row>
    <row r="258" spans="1:20" x14ac:dyDescent="0.15">
      <c r="A258" s="36" t="s">
        <v>481</v>
      </c>
      <c r="B258" s="37" t="s">
        <v>503</v>
      </c>
      <c r="C258" s="38">
        <v>304106</v>
      </c>
      <c r="D258" s="38" t="b">
        <v>0</v>
      </c>
      <c r="E258" s="38">
        <v>15</v>
      </c>
      <c r="F258" s="38" t="s">
        <v>488</v>
      </c>
      <c r="G258" s="38" t="s">
        <v>489</v>
      </c>
      <c r="H258" s="39">
        <v>44176</v>
      </c>
      <c r="I258" s="38">
        <v>15</v>
      </c>
      <c r="J258" s="38" t="s">
        <v>56</v>
      </c>
      <c r="K258" s="38" t="s">
        <v>57</v>
      </c>
      <c r="L258" s="38" t="s">
        <v>58</v>
      </c>
      <c r="M258" s="38">
        <v>0.39</v>
      </c>
      <c r="N258" s="38">
        <v>0.27</v>
      </c>
      <c r="O258" s="38">
        <v>-10.673</v>
      </c>
      <c r="P258" s="38">
        <v>3.0800000000000001E-2</v>
      </c>
      <c r="Q258" s="38">
        <v>0.93700000000000006</v>
      </c>
      <c r="R258" s="38">
        <v>2.2699999999999999E-3</v>
      </c>
      <c r="S258" s="38">
        <v>0.111</v>
      </c>
      <c r="T258" s="38">
        <v>0.32</v>
      </c>
    </row>
    <row r="259" spans="1:20" x14ac:dyDescent="0.15">
      <c r="A259" s="36" t="s">
        <v>504</v>
      </c>
      <c r="B259" s="37" t="s">
        <v>505</v>
      </c>
      <c r="C259" s="38">
        <v>210240</v>
      </c>
      <c r="D259" s="38" t="b">
        <v>1</v>
      </c>
      <c r="E259" s="38">
        <v>1</v>
      </c>
      <c r="F259" s="38" t="s">
        <v>506</v>
      </c>
      <c r="G259" s="38" t="s">
        <v>507</v>
      </c>
      <c r="H259" s="39">
        <v>44160</v>
      </c>
      <c r="I259" s="38">
        <v>34</v>
      </c>
      <c r="J259" s="38" t="s">
        <v>56</v>
      </c>
      <c r="K259" s="38" t="s">
        <v>57</v>
      </c>
      <c r="L259" s="38" t="s">
        <v>58</v>
      </c>
      <c r="M259" s="38">
        <v>0.78</v>
      </c>
      <c r="N259" s="38">
        <v>0.36099999999999999</v>
      </c>
      <c r="O259" s="38">
        <v>-6.9420000000000002</v>
      </c>
      <c r="P259" s="38">
        <v>4.8000000000000001E-2</v>
      </c>
      <c r="Q259" s="38">
        <v>0.75</v>
      </c>
      <c r="R259" s="38">
        <v>7.1400000000000002E-6</v>
      </c>
      <c r="S259" s="38">
        <v>0.108</v>
      </c>
      <c r="T259" s="38">
        <v>0.16300000000000001</v>
      </c>
    </row>
    <row r="260" spans="1:20" x14ac:dyDescent="0.15">
      <c r="A260" s="36" t="s">
        <v>508</v>
      </c>
      <c r="B260" s="37" t="s">
        <v>509</v>
      </c>
      <c r="C260" s="38">
        <v>239560</v>
      </c>
      <c r="D260" s="38" t="b">
        <v>0</v>
      </c>
      <c r="E260" s="38">
        <v>2</v>
      </c>
      <c r="F260" s="38" t="s">
        <v>506</v>
      </c>
      <c r="G260" s="38" t="s">
        <v>507</v>
      </c>
      <c r="H260" s="39">
        <v>44160</v>
      </c>
      <c r="I260" s="38">
        <v>34</v>
      </c>
      <c r="J260" s="38" t="s">
        <v>56</v>
      </c>
      <c r="K260" s="38" t="s">
        <v>57</v>
      </c>
      <c r="L260" s="38" t="s">
        <v>58</v>
      </c>
      <c r="M260" s="38">
        <v>0.61199999999999999</v>
      </c>
      <c r="N260" s="38">
        <v>0.57999999999999996</v>
      </c>
      <c r="O260" s="38">
        <v>-8.5719999999999992</v>
      </c>
      <c r="P260" s="38">
        <v>4.19E-2</v>
      </c>
      <c r="Q260" s="38">
        <v>0.52500000000000002</v>
      </c>
      <c r="R260" s="38">
        <v>4.1399999999999998E-4</v>
      </c>
      <c r="S260" s="38">
        <v>0.26</v>
      </c>
      <c r="T260" s="38">
        <v>0.53400000000000003</v>
      </c>
    </row>
    <row r="261" spans="1:20" x14ac:dyDescent="0.15">
      <c r="A261" s="36" t="s">
        <v>510</v>
      </c>
      <c r="B261" s="37" t="s">
        <v>511</v>
      </c>
      <c r="C261" s="38">
        <v>231000</v>
      </c>
      <c r="D261" s="38" t="b">
        <v>1</v>
      </c>
      <c r="E261" s="38">
        <v>3</v>
      </c>
      <c r="F261" s="38" t="s">
        <v>506</v>
      </c>
      <c r="G261" s="38" t="s">
        <v>507</v>
      </c>
      <c r="H261" s="39">
        <v>44160</v>
      </c>
      <c r="I261" s="38">
        <v>34</v>
      </c>
      <c r="J261" s="38" t="s">
        <v>56</v>
      </c>
      <c r="K261" s="38" t="s">
        <v>57</v>
      </c>
      <c r="L261" s="38" t="s">
        <v>58</v>
      </c>
      <c r="M261" s="38">
        <v>0.68799999999999994</v>
      </c>
      <c r="N261" s="38">
        <v>0.65300000000000002</v>
      </c>
      <c r="O261" s="38">
        <v>-8.5579999999999998</v>
      </c>
      <c r="P261" s="38">
        <v>4.0300000000000002E-2</v>
      </c>
      <c r="Q261" s="38">
        <v>0.48099999999999998</v>
      </c>
      <c r="R261" s="38">
        <v>4.1399999999999996E-3</v>
      </c>
      <c r="S261" s="38">
        <v>0.106</v>
      </c>
      <c r="T261" s="38">
        <v>0.70099999999999996</v>
      </c>
    </row>
    <row r="262" spans="1:20" x14ac:dyDescent="0.15">
      <c r="A262" s="36" t="s">
        <v>512</v>
      </c>
      <c r="B262" s="37" t="s">
        <v>513</v>
      </c>
      <c r="C262" s="38">
        <v>285640</v>
      </c>
      <c r="D262" s="38" t="b">
        <v>0</v>
      </c>
      <c r="E262" s="38">
        <v>4</v>
      </c>
      <c r="F262" s="38" t="s">
        <v>506</v>
      </c>
      <c r="G262" s="38" t="s">
        <v>507</v>
      </c>
      <c r="H262" s="39">
        <v>44160</v>
      </c>
      <c r="I262" s="38">
        <v>34</v>
      </c>
      <c r="J262" s="38" t="s">
        <v>56</v>
      </c>
      <c r="K262" s="38" t="s">
        <v>57</v>
      </c>
      <c r="L262" s="38" t="s">
        <v>58</v>
      </c>
      <c r="M262" s="38">
        <v>0.31</v>
      </c>
      <c r="N262" s="38">
        <v>0.374</v>
      </c>
      <c r="O262" s="38">
        <v>-8.4640000000000004</v>
      </c>
      <c r="P262" s="38">
        <v>2.75E-2</v>
      </c>
      <c r="Q262" s="38">
        <v>0.76100000000000001</v>
      </c>
      <c r="R262" s="38">
        <v>2.4600000000000002E-5</v>
      </c>
      <c r="S262" s="38">
        <v>0.11</v>
      </c>
      <c r="T262" s="38">
        <v>0.16</v>
      </c>
    </row>
    <row r="263" spans="1:20" x14ac:dyDescent="0.15">
      <c r="A263" s="36" t="s">
        <v>514</v>
      </c>
      <c r="B263" s="37" t="s">
        <v>515</v>
      </c>
      <c r="C263" s="38">
        <v>255893</v>
      </c>
      <c r="D263" s="38" t="b">
        <v>0</v>
      </c>
      <c r="E263" s="38">
        <v>5</v>
      </c>
      <c r="F263" s="38" t="s">
        <v>506</v>
      </c>
      <c r="G263" s="38" t="s">
        <v>507</v>
      </c>
      <c r="H263" s="39">
        <v>44160</v>
      </c>
      <c r="I263" s="38">
        <v>34</v>
      </c>
      <c r="J263" s="38" t="s">
        <v>56</v>
      </c>
      <c r="K263" s="38" t="s">
        <v>57</v>
      </c>
      <c r="L263" s="38" t="s">
        <v>58</v>
      </c>
      <c r="M263" s="38">
        <v>0.45600000000000002</v>
      </c>
      <c r="N263" s="38">
        <v>0.26500000000000001</v>
      </c>
      <c r="O263" s="38">
        <v>-10.663</v>
      </c>
      <c r="P263" s="38">
        <v>3.2800000000000003E-2</v>
      </c>
      <c r="Q263" s="38">
        <v>0.81399999999999995</v>
      </c>
      <c r="R263" s="38">
        <v>0</v>
      </c>
      <c r="S263" s="38">
        <v>6.7900000000000002E-2</v>
      </c>
      <c r="T263" s="38">
        <v>0.112</v>
      </c>
    </row>
    <row r="264" spans="1:20" x14ac:dyDescent="0.15">
      <c r="A264" s="36" t="s">
        <v>516</v>
      </c>
      <c r="B264" s="37" t="s">
        <v>517</v>
      </c>
      <c r="C264" s="38">
        <v>208973</v>
      </c>
      <c r="D264" s="38" t="b">
        <v>0</v>
      </c>
      <c r="E264" s="38">
        <v>6</v>
      </c>
      <c r="F264" s="38" t="s">
        <v>506</v>
      </c>
      <c r="G264" s="38" t="s">
        <v>507</v>
      </c>
      <c r="H264" s="39">
        <v>44160</v>
      </c>
      <c r="I264" s="38">
        <v>34</v>
      </c>
      <c r="J264" s="38" t="s">
        <v>56</v>
      </c>
      <c r="K264" s="38" t="s">
        <v>57</v>
      </c>
      <c r="L264" s="38" t="s">
        <v>58</v>
      </c>
      <c r="M264" s="38">
        <v>0.54900000000000004</v>
      </c>
      <c r="N264" s="38">
        <v>0.41699999999999998</v>
      </c>
      <c r="O264" s="38">
        <v>-10.064</v>
      </c>
      <c r="P264" s="38">
        <v>3.5000000000000003E-2</v>
      </c>
      <c r="Q264" s="38">
        <v>0.68600000000000005</v>
      </c>
      <c r="R264" s="38">
        <v>1.9E-6</v>
      </c>
      <c r="S264" s="38">
        <v>6.0400000000000002E-2</v>
      </c>
      <c r="T264" s="38">
        <v>0.34699999999999998</v>
      </c>
    </row>
    <row r="265" spans="1:20" x14ac:dyDescent="0.15">
      <c r="A265" s="36" t="s">
        <v>518</v>
      </c>
      <c r="B265" s="37" t="s">
        <v>519</v>
      </c>
      <c r="C265" s="38">
        <v>208906</v>
      </c>
      <c r="D265" s="38" t="b">
        <v>0</v>
      </c>
      <c r="E265" s="38">
        <v>7</v>
      </c>
      <c r="F265" s="38" t="s">
        <v>506</v>
      </c>
      <c r="G265" s="38" t="s">
        <v>507</v>
      </c>
      <c r="H265" s="39">
        <v>44160</v>
      </c>
      <c r="I265" s="38">
        <v>34</v>
      </c>
      <c r="J265" s="38" t="s">
        <v>56</v>
      </c>
      <c r="K265" s="38" t="s">
        <v>57</v>
      </c>
      <c r="L265" s="38" t="s">
        <v>58</v>
      </c>
      <c r="M265" s="38">
        <v>0.60199999999999998</v>
      </c>
      <c r="N265" s="38">
        <v>0.49399999999999999</v>
      </c>
      <c r="O265" s="38">
        <v>-10.813000000000001</v>
      </c>
      <c r="P265" s="38">
        <v>2.7699999999999999E-2</v>
      </c>
      <c r="Q265" s="38">
        <v>0.88800000000000001</v>
      </c>
      <c r="R265" s="38">
        <v>2.5899999999999999E-5</v>
      </c>
      <c r="S265" s="38">
        <v>9.0200000000000002E-2</v>
      </c>
      <c r="T265" s="38">
        <v>0.374</v>
      </c>
    </row>
    <row r="266" spans="1:20" x14ac:dyDescent="0.15">
      <c r="A266" s="36" t="s">
        <v>520</v>
      </c>
      <c r="B266" s="37" t="s">
        <v>521</v>
      </c>
      <c r="C266" s="38">
        <v>261920</v>
      </c>
      <c r="D266" s="38" t="b">
        <v>0</v>
      </c>
      <c r="E266" s="38">
        <v>8</v>
      </c>
      <c r="F266" s="38" t="s">
        <v>506</v>
      </c>
      <c r="G266" s="38" t="s">
        <v>507</v>
      </c>
      <c r="H266" s="39">
        <v>44160</v>
      </c>
      <c r="I266" s="38">
        <v>34</v>
      </c>
      <c r="J266" s="38" t="s">
        <v>56</v>
      </c>
      <c r="K266" s="38" t="s">
        <v>57</v>
      </c>
      <c r="L266" s="38" t="s">
        <v>58</v>
      </c>
      <c r="M266" s="38">
        <v>0.38700000000000001</v>
      </c>
      <c r="N266" s="38">
        <v>0.63400000000000001</v>
      </c>
      <c r="O266" s="38">
        <v>-9.2219999999999995</v>
      </c>
      <c r="P266" s="38">
        <v>3.6299999999999999E-2</v>
      </c>
      <c r="Q266" s="38">
        <v>0.55300000000000005</v>
      </c>
      <c r="R266" s="38">
        <v>6.9300000000000004E-5</v>
      </c>
      <c r="S266" s="38">
        <v>9.3100000000000002E-2</v>
      </c>
      <c r="T266" s="38">
        <v>0.42</v>
      </c>
    </row>
    <row r="267" spans="1:20" x14ac:dyDescent="0.15">
      <c r="A267" s="36" t="s">
        <v>522</v>
      </c>
      <c r="B267" s="37" t="s">
        <v>523</v>
      </c>
      <c r="C267" s="38">
        <v>195106</v>
      </c>
      <c r="D267" s="38" t="b">
        <v>0</v>
      </c>
      <c r="E267" s="38">
        <v>9</v>
      </c>
      <c r="F267" s="38" t="s">
        <v>506</v>
      </c>
      <c r="G267" s="38" t="s">
        <v>507</v>
      </c>
      <c r="H267" s="39">
        <v>44160</v>
      </c>
      <c r="I267" s="38">
        <v>34</v>
      </c>
      <c r="J267" s="38" t="s">
        <v>56</v>
      </c>
      <c r="K267" s="38" t="s">
        <v>57</v>
      </c>
      <c r="L267" s="38" t="s">
        <v>58</v>
      </c>
      <c r="M267" s="38">
        <v>0.51100000000000001</v>
      </c>
      <c r="N267" s="38">
        <v>0.47799999999999998</v>
      </c>
      <c r="O267" s="38">
        <v>-9.8369999999999997</v>
      </c>
      <c r="P267" s="38">
        <v>3.2199999999999999E-2</v>
      </c>
      <c r="Q267" s="38">
        <v>0.312</v>
      </c>
      <c r="R267" s="38">
        <v>2.3E-5</v>
      </c>
      <c r="S267" s="38">
        <v>0.14699999999999999</v>
      </c>
      <c r="T267" s="38">
        <v>0.40799999999999997</v>
      </c>
    </row>
    <row r="268" spans="1:20" x14ac:dyDescent="0.15">
      <c r="A268" s="36" t="s">
        <v>524</v>
      </c>
      <c r="B268" s="37" t="s">
        <v>525</v>
      </c>
      <c r="C268" s="38">
        <v>190893</v>
      </c>
      <c r="D268" s="38" t="b">
        <v>0</v>
      </c>
      <c r="E268" s="38">
        <v>10</v>
      </c>
      <c r="F268" s="38" t="s">
        <v>506</v>
      </c>
      <c r="G268" s="38" t="s">
        <v>507</v>
      </c>
      <c r="H268" s="39">
        <v>44160</v>
      </c>
      <c r="I268" s="38">
        <v>34</v>
      </c>
      <c r="J268" s="38" t="s">
        <v>56</v>
      </c>
      <c r="K268" s="38" t="s">
        <v>57</v>
      </c>
      <c r="L268" s="38" t="s">
        <v>58</v>
      </c>
      <c r="M268" s="38">
        <v>0.52900000000000003</v>
      </c>
      <c r="N268" s="38">
        <v>0.30399999999999999</v>
      </c>
      <c r="O268" s="38">
        <v>-10.567</v>
      </c>
      <c r="P268" s="38">
        <v>3.56E-2</v>
      </c>
      <c r="Q268" s="38">
        <v>0.86199999999999999</v>
      </c>
      <c r="R268" s="38">
        <v>0</v>
      </c>
      <c r="S268" s="38">
        <v>0.108</v>
      </c>
      <c r="T268" s="38">
        <v>0.44</v>
      </c>
    </row>
    <row r="269" spans="1:20" x14ac:dyDescent="0.15">
      <c r="A269" s="36" t="s">
        <v>526</v>
      </c>
      <c r="B269" s="37" t="s">
        <v>527</v>
      </c>
      <c r="C269" s="38">
        <v>252880</v>
      </c>
      <c r="D269" s="38" t="b">
        <v>0</v>
      </c>
      <c r="E269" s="38">
        <v>11</v>
      </c>
      <c r="F269" s="38" t="s">
        <v>506</v>
      </c>
      <c r="G269" s="38" t="s">
        <v>507</v>
      </c>
      <c r="H269" s="39">
        <v>44160</v>
      </c>
      <c r="I269" s="38">
        <v>34</v>
      </c>
      <c r="J269" s="38" t="s">
        <v>56</v>
      </c>
      <c r="K269" s="38" t="s">
        <v>57</v>
      </c>
      <c r="L269" s="38" t="s">
        <v>58</v>
      </c>
      <c r="M269" s="38">
        <v>0.65100000000000002</v>
      </c>
      <c r="N269" s="38">
        <v>0.45900000000000002</v>
      </c>
      <c r="O269" s="38">
        <v>-11.128</v>
      </c>
      <c r="P269" s="38">
        <v>5.0700000000000002E-2</v>
      </c>
      <c r="Q269" s="38">
        <v>0.85899999999999999</v>
      </c>
      <c r="R269" s="38">
        <v>6.6299999999999999E-5</v>
      </c>
      <c r="S269" s="38">
        <v>0.105</v>
      </c>
      <c r="T269" s="38">
        <v>0.45400000000000001</v>
      </c>
    </row>
    <row r="270" spans="1:20" x14ac:dyDescent="0.15">
      <c r="A270" s="36" t="s">
        <v>528</v>
      </c>
      <c r="B270" s="37" t="s">
        <v>529</v>
      </c>
      <c r="C270" s="38">
        <v>237266</v>
      </c>
      <c r="D270" s="38" t="b">
        <v>1</v>
      </c>
      <c r="E270" s="38">
        <v>12</v>
      </c>
      <c r="F270" s="38" t="s">
        <v>506</v>
      </c>
      <c r="G270" s="38" t="s">
        <v>507</v>
      </c>
      <c r="H270" s="39">
        <v>44160</v>
      </c>
      <c r="I270" s="38">
        <v>34</v>
      </c>
      <c r="J270" s="38" t="s">
        <v>56</v>
      </c>
      <c r="K270" s="38" t="s">
        <v>57</v>
      </c>
      <c r="L270" s="38" t="s">
        <v>58</v>
      </c>
      <c r="M270" s="38">
        <v>0.59299999999999997</v>
      </c>
      <c r="N270" s="38">
        <v>0.7</v>
      </c>
      <c r="O270" s="38">
        <v>-9.016</v>
      </c>
      <c r="P270" s="38">
        <v>4.9200000000000001E-2</v>
      </c>
      <c r="Q270" s="38">
        <v>0.67</v>
      </c>
      <c r="R270" s="38">
        <v>6.7700000000000004E-6</v>
      </c>
      <c r="S270" s="38">
        <v>0.11600000000000001</v>
      </c>
      <c r="T270" s="38">
        <v>0.45100000000000001</v>
      </c>
    </row>
    <row r="271" spans="1:20" x14ac:dyDescent="0.15">
      <c r="A271" s="36" t="s">
        <v>530</v>
      </c>
      <c r="B271" s="37" t="s">
        <v>531</v>
      </c>
      <c r="C271" s="38">
        <v>289746</v>
      </c>
      <c r="D271" s="38" t="b">
        <v>0</v>
      </c>
      <c r="E271" s="38">
        <v>13</v>
      </c>
      <c r="F271" s="38" t="s">
        <v>506</v>
      </c>
      <c r="G271" s="38" t="s">
        <v>507</v>
      </c>
      <c r="H271" s="39">
        <v>44160</v>
      </c>
      <c r="I271" s="38">
        <v>34</v>
      </c>
      <c r="J271" s="38" t="s">
        <v>56</v>
      </c>
      <c r="K271" s="38" t="s">
        <v>57</v>
      </c>
      <c r="L271" s="38" t="s">
        <v>58</v>
      </c>
      <c r="M271" s="38">
        <v>0.317</v>
      </c>
      <c r="N271" s="38">
        <v>0.254</v>
      </c>
      <c r="O271" s="38">
        <v>-13.679</v>
      </c>
      <c r="P271" s="38">
        <v>2.86E-2</v>
      </c>
      <c r="Q271" s="38">
        <v>0.72699999999999998</v>
      </c>
      <c r="R271" s="38">
        <v>3.2600000000000001E-4</v>
      </c>
      <c r="S271" s="38">
        <v>8.6699999999999999E-2</v>
      </c>
      <c r="T271" s="38">
        <v>0.10299999999999999</v>
      </c>
    </row>
    <row r="272" spans="1:20" x14ac:dyDescent="0.15">
      <c r="A272" s="36" t="s">
        <v>532</v>
      </c>
      <c r="B272" s="37" t="s">
        <v>533</v>
      </c>
      <c r="C272" s="38">
        <v>294520</v>
      </c>
      <c r="D272" s="38" t="b">
        <v>1</v>
      </c>
      <c r="E272" s="38">
        <v>14</v>
      </c>
      <c r="F272" s="38" t="s">
        <v>506</v>
      </c>
      <c r="G272" s="38" t="s">
        <v>507</v>
      </c>
      <c r="H272" s="39">
        <v>44160</v>
      </c>
      <c r="I272" s="38">
        <v>34</v>
      </c>
      <c r="J272" s="38" t="s">
        <v>56</v>
      </c>
      <c r="K272" s="38" t="s">
        <v>57</v>
      </c>
      <c r="L272" s="38" t="s">
        <v>58</v>
      </c>
      <c r="M272" s="38">
        <v>0.59499999999999997</v>
      </c>
      <c r="N272" s="38">
        <v>0.376</v>
      </c>
      <c r="O272" s="38">
        <v>-8.7669999999999995</v>
      </c>
      <c r="P272" s="38">
        <v>2.5600000000000001E-2</v>
      </c>
      <c r="Q272" s="38">
        <v>0.58899999999999997</v>
      </c>
      <c r="R272" s="38">
        <v>0</v>
      </c>
      <c r="S272" s="38">
        <v>9.8900000000000002E-2</v>
      </c>
      <c r="T272" s="38">
        <v>0.47599999999999998</v>
      </c>
    </row>
    <row r="273" spans="1:20" x14ac:dyDescent="0.15">
      <c r="A273" s="36" t="s">
        <v>534</v>
      </c>
      <c r="B273" s="37" t="s">
        <v>535</v>
      </c>
      <c r="C273" s="38">
        <v>234000</v>
      </c>
      <c r="D273" s="38" t="b">
        <v>1</v>
      </c>
      <c r="E273" s="38">
        <v>15</v>
      </c>
      <c r="F273" s="38" t="s">
        <v>506</v>
      </c>
      <c r="G273" s="38" t="s">
        <v>507</v>
      </c>
      <c r="H273" s="39">
        <v>44160</v>
      </c>
      <c r="I273" s="38">
        <v>34</v>
      </c>
      <c r="J273" s="38" t="s">
        <v>56</v>
      </c>
      <c r="K273" s="38" t="s">
        <v>57</v>
      </c>
      <c r="L273" s="38" t="s">
        <v>58</v>
      </c>
      <c r="M273" s="38">
        <v>0.64400000000000002</v>
      </c>
      <c r="N273" s="38">
        <v>0.28399999999999997</v>
      </c>
      <c r="O273" s="38">
        <v>-12.879</v>
      </c>
      <c r="P273" s="38">
        <v>8.2100000000000006E-2</v>
      </c>
      <c r="Q273" s="38">
        <v>0.91600000000000004</v>
      </c>
      <c r="R273" s="38">
        <v>1.5E-5</v>
      </c>
      <c r="S273" s="38">
        <v>9.0899999999999995E-2</v>
      </c>
      <c r="T273" s="38">
        <v>0.32800000000000001</v>
      </c>
    </row>
    <row r="274" spans="1:20" x14ac:dyDescent="0.15">
      <c r="A274" s="36" t="s">
        <v>536</v>
      </c>
      <c r="B274" s="37" t="s">
        <v>537</v>
      </c>
      <c r="C274" s="38">
        <v>220040</v>
      </c>
      <c r="D274" s="38" t="b">
        <v>0</v>
      </c>
      <c r="E274" s="38">
        <v>16</v>
      </c>
      <c r="F274" s="38" t="s">
        <v>506</v>
      </c>
      <c r="G274" s="38" t="s">
        <v>507</v>
      </c>
      <c r="H274" s="39">
        <v>44160</v>
      </c>
      <c r="I274" s="38">
        <v>34</v>
      </c>
      <c r="J274" s="38" t="s">
        <v>56</v>
      </c>
      <c r="K274" s="38" t="s">
        <v>57</v>
      </c>
      <c r="L274" s="38" t="s">
        <v>58</v>
      </c>
      <c r="M274" s="38">
        <v>0.67600000000000005</v>
      </c>
      <c r="N274" s="38">
        <v>0.17799999999999999</v>
      </c>
      <c r="O274" s="38">
        <v>-15.01</v>
      </c>
      <c r="P274" s="38">
        <v>3.9399999999999998E-2</v>
      </c>
      <c r="Q274" s="38">
        <v>0.96399999999999997</v>
      </c>
      <c r="R274" s="38">
        <v>7.9000000000000006E-6</v>
      </c>
      <c r="S274" s="38">
        <v>0.13500000000000001</v>
      </c>
      <c r="T274" s="38">
        <v>0.40400000000000003</v>
      </c>
    </row>
    <row r="275" spans="1:20" x14ac:dyDescent="0.15">
      <c r="A275" s="36" t="s">
        <v>538</v>
      </c>
      <c r="B275" s="37" t="s">
        <v>539</v>
      </c>
      <c r="C275" s="38">
        <v>211813</v>
      </c>
      <c r="D275" s="38" t="b">
        <v>0</v>
      </c>
      <c r="E275" s="38">
        <v>17</v>
      </c>
      <c r="F275" s="38" t="s">
        <v>506</v>
      </c>
      <c r="G275" s="38" t="s">
        <v>507</v>
      </c>
      <c r="H275" s="39">
        <v>44160</v>
      </c>
      <c r="I275" s="38">
        <v>34</v>
      </c>
      <c r="J275" s="38" t="s">
        <v>56</v>
      </c>
      <c r="K275" s="38" t="s">
        <v>57</v>
      </c>
      <c r="L275" s="38" t="s">
        <v>58</v>
      </c>
      <c r="M275" s="38">
        <v>0.313</v>
      </c>
      <c r="N275" s="38">
        <v>0.25800000000000001</v>
      </c>
      <c r="O275" s="38">
        <v>-11.532</v>
      </c>
      <c r="P275" s="38">
        <v>3.8300000000000001E-2</v>
      </c>
      <c r="Q275" s="38">
        <v>0.84199999999999997</v>
      </c>
      <c r="R275" s="38">
        <v>1.3E-6</v>
      </c>
      <c r="S275" s="38">
        <v>9.4799999999999995E-2</v>
      </c>
      <c r="T275" s="38">
        <v>0.26800000000000002</v>
      </c>
    </row>
    <row r="276" spans="1:20" x14ac:dyDescent="0.15">
      <c r="A276" s="36" t="s">
        <v>540</v>
      </c>
      <c r="B276" s="37" t="s">
        <v>541</v>
      </c>
      <c r="C276" s="38">
        <v>219893</v>
      </c>
      <c r="D276" s="38" t="b">
        <v>1</v>
      </c>
      <c r="E276" s="38">
        <v>1</v>
      </c>
      <c r="F276" s="38" t="s">
        <v>506</v>
      </c>
      <c r="G276" s="38" t="s">
        <v>507</v>
      </c>
      <c r="H276" s="39">
        <v>44160</v>
      </c>
      <c r="I276" s="38">
        <v>34</v>
      </c>
      <c r="J276" s="38" t="s">
        <v>56</v>
      </c>
      <c r="K276" s="38" t="s">
        <v>57</v>
      </c>
      <c r="L276" s="38" t="s">
        <v>58</v>
      </c>
      <c r="M276" s="38">
        <v>0.70799999999999996</v>
      </c>
      <c r="N276" s="38">
        <v>0.25</v>
      </c>
      <c r="O276" s="38">
        <v>-10.731</v>
      </c>
      <c r="P276" s="38">
        <v>3.61E-2</v>
      </c>
      <c r="Q276" s="38">
        <v>0.89800000000000002</v>
      </c>
      <c r="R276" s="38">
        <v>2.5999999999999999E-2</v>
      </c>
      <c r="S276" s="38">
        <v>0.10199999999999999</v>
      </c>
      <c r="T276" s="38">
        <v>0.156</v>
      </c>
    </row>
    <row r="277" spans="1:20" x14ac:dyDescent="0.15">
      <c r="A277" s="36" t="s">
        <v>542</v>
      </c>
      <c r="B277" s="37" t="s">
        <v>543</v>
      </c>
      <c r="C277" s="38">
        <v>230680</v>
      </c>
      <c r="D277" s="38" t="b">
        <v>0</v>
      </c>
      <c r="E277" s="38">
        <v>2</v>
      </c>
      <c r="F277" s="38" t="s">
        <v>506</v>
      </c>
      <c r="G277" s="38" t="s">
        <v>507</v>
      </c>
      <c r="H277" s="39">
        <v>44160</v>
      </c>
      <c r="I277" s="38">
        <v>34</v>
      </c>
      <c r="J277" s="38" t="s">
        <v>56</v>
      </c>
      <c r="K277" s="38" t="s">
        <v>57</v>
      </c>
      <c r="L277" s="38" t="s">
        <v>58</v>
      </c>
      <c r="M277" s="38">
        <v>0.39500000000000002</v>
      </c>
      <c r="N277" s="38">
        <v>0.23400000000000001</v>
      </c>
      <c r="O277" s="38">
        <v>-9.7040000000000006</v>
      </c>
      <c r="P277" s="38">
        <v>3.8199999999999998E-2</v>
      </c>
      <c r="Q277" s="38">
        <v>0.88</v>
      </c>
      <c r="R277" s="38">
        <v>0</v>
      </c>
      <c r="S277" s="38">
        <v>0.107</v>
      </c>
      <c r="T277" s="38">
        <v>0.247</v>
      </c>
    </row>
    <row r="278" spans="1:20" x14ac:dyDescent="0.15">
      <c r="A278" s="36" t="s">
        <v>544</v>
      </c>
      <c r="B278" s="37" t="s">
        <v>545</v>
      </c>
      <c r="C278" s="38">
        <v>232346</v>
      </c>
      <c r="D278" s="38" t="b">
        <v>0</v>
      </c>
      <c r="E278" s="38">
        <v>3</v>
      </c>
      <c r="F278" s="38" t="s">
        <v>506</v>
      </c>
      <c r="G278" s="38" t="s">
        <v>507</v>
      </c>
      <c r="H278" s="39">
        <v>44160</v>
      </c>
      <c r="I278" s="38">
        <v>34</v>
      </c>
      <c r="J278" s="38" t="s">
        <v>56</v>
      </c>
      <c r="K278" s="38" t="s">
        <v>57</v>
      </c>
      <c r="L278" s="38" t="s">
        <v>58</v>
      </c>
      <c r="M278" s="38">
        <v>0.64</v>
      </c>
      <c r="N278" s="38">
        <v>0.61799999999999999</v>
      </c>
      <c r="O278" s="38">
        <v>-11.715</v>
      </c>
      <c r="P278" s="38">
        <v>3.7900000000000003E-2</v>
      </c>
      <c r="Q278" s="38">
        <v>0.74299999999999999</v>
      </c>
      <c r="R278" s="38">
        <v>4.0000000000000001E-3</v>
      </c>
      <c r="S278" s="38">
        <v>5.74E-2</v>
      </c>
      <c r="T278" s="38">
        <v>0.61399999999999999</v>
      </c>
    </row>
    <row r="279" spans="1:20" x14ac:dyDescent="0.15">
      <c r="A279" s="36" t="s">
        <v>546</v>
      </c>
      <c r="B279" s="37" t="s">
        <v>547</v>
      </c>
      <c r="C279" s="38">
        <v>279893</v>
      </c>
      <c r="D279" s="38" t="b">
        <v>0</v>
      </c>
      <c r="E279" s="38">
        <v>4</v>
      </c>
      <c r="F279" s="38" t="s">
        <v>506</v>
      </c>
      <c r="G279" s="38" t="s">
        <v>507</v>
      </c>
      <c r="H279" s="39">
        <v>44160</v>
      </c>
      <c r="I279" s="38">
        <v>34</v>
      </c>
      <c r="J279" s="38" t="s">
        <v>56</v>
      </c>
      <c r="K279" s="38" t="s">
        <v>57</v>
      </c>
      <c r="L279" s="38" t="s">
        <v>58</v>
      </c>
      <c r="M279" s="38">
        <v>0.35899999999999999</v>
      </c>
      <c r="N279" s="38">
        <v>0.30499999999999999</v>
      </c>
      <c r="O279" s="38">
        <v>-10.295</v>
      </c>
      <c r="P279" s="38">
        <v>3.0599999999999999E-2</v>
      </c>
      <c r="Q279" s="38">
        <v>0.84799999999999998</v>
      </c>
      <c r="R279" s="38">
        <v>6.7399999999999998E-5</v>
      </c>
      <c r="S279" s="38">
        <v>0.111</v>
      </c>
      <c r="T279" s="38">
        <v>0.108</v>
      </c>
    </row>
    <row r="280" spans="1:20" x14ac:dyDescent="0.15">
      <c r="A280" s="36" t="s">
        <v>548</v>
      </c>
      <c r="B280" s="37" t="s">
        <v>549</v>
      </c>
      <c r="C280" s="38">
        <v>295173</v>
      </c>
      <c r="D280" s="38" t="b">
        <v>0</v>
      </c>
      <c r="E280" s="38">
        <v>5</v>
      </c>
      <c r="F280" s="38" t="s">
        <v>506</v>
      </c>
      <c r="G280" s="38" t="s">
        <v>507</v>
      </c>
      <c r="H280" s="39">
        <v>44160</v>
      </c>
      <c r="I280" s="38">
        <v>34</v>
      </c>
      <c r="J280" s="38" t="s">
        <v>56</v>
      </c>
      <c r="K280" s="38" t="s">
        <v>57</v>
      </c>
      <c r="L280" s="38" t="s">
        <v>58</v>
      </c>
      <c r="M280" s="38">
        <v>0.53100000000000003</v>
      </c>
      <c r="N280" s="38">
        <v>0.17199999999999999</v>
      </c>
      <c r="O280" s="38">
        <v>-12.34</v>
      </c>
      <c r="P280" s="38">
        <v>3.5099999999999999E-2</v>
      </c>
      <c r="Q280" s="38">
        <v>0.94599999999999995</v>
      </c>
      <c r="R280" s="38">
        <v>1.01E-5</v>
      </c>
      <c r="S280" s="38">
        <v>6.1499999999999999E-2</v>
      </c>
      <c r="T280" s="38">
        <v>0.16800000000000001</v>
      </c>
    </row>
    <row r="281" spans="1:20" x14ac:dyDescent="0.15">
      <c r="A281" s="36" t="s">
        <v>550</v>
      </c>
      <c r="B281" s="37" t="s">
        <v>551</v>
      </c>
      <c r="C281" s="38">
        <v>237373</v>
      </c>
      <c r="D281" s="38" t="b">
        <v>0</v>
      </c>
      <c r="E281" s="38">
        <v>6</v>
      </c>
      <c r="F281" s="38" t="s">
        <v>506</v>
      </c>
      <c r="G281" s="38" t="s">
        <v>507</v>
      </c>
      <c r="H281" s="39">
        <v>44160</v>
      </c>
      <c r="I281" s="38">
        <v>34</v>
      </c>
      <c r="J281" s="38" t="s">
        <v>56</v>
      </c>
      <c r="K281" s="38" t="s">
        <v>57</v>
      </c>
      <c r="L281" s="38" t="s">
        <v>58</v>
      </c>
      <c r="M281" s="38">
        <v>0.50900000000000001</v>
      </c>
      <c r="N281" s="38">
        <v>0.38600000000000001</v>
      </c>
      <c r="O281" s="38">
        <v>-8.4339999999999993</v>
      </c>
      <c r="P281" s="38">
        <v>2.7199999999999998E-2</v>
      </c>
      <c r="Q281" s="38">
        <v>0.78</v>
      </c>
      <c r="R281" s="38">
        <v>3.4499999999999998E-5</v>
      </c>
      <c r="S281" s="38">
        <v>0.11799999999999999</v>
      </c>
      <c r="T281" s="38">
        <v>0.109</v>
      </c>
    </row>
    <row r="282" spans="1:20" x14ac:dyDescent="0.15">
      <c r="A282" s="36" t="s">
        <v>552</v>
      </c>
      <c r="B282" s="37" t="s">
        <v>553</v>
      </c>
      <c r="C282" s="38">
        <v>208986</v>
      </c>
      <c r="D282" s="38" t="b">
        <v>0</v>
      </c>
      <c r="E282" s="38">
        <v>7</v>
      </c>
      <c r="F282" s="38" t="s">
        <v>506</v>
      </c>
      <c r="G282" s="38" t="s">
        <v>507</v>
      </c>
      <c r="H282" s="39">
        <v>44160</v>
      </c>
      <c r="I282" s="38">
        <v>34</v>
      </c>
      <c r="J282" s="38" t="s">
        <v>56</v>
      </c>
      <c r="K282" s="38" t="s">
        <v>57</v>
      </c>
      <c r="L282" s="38" t="s">
        <v>58</v>
      </c>
      <c r="M282" s="38">
        <v>0.69399999999999995</v>
      </c>
      <c r="N282" s="38">
        <v>0.44900000000000001</v>
      </c>
      <c r="O282" s="38">
        <v>-11.49</v>
      </c>
      <c r="P282" s="38">
        <v>3.0099999999999998E-2</v>
      </c>
      <c r="Q282" s="38">
        <v>0.91400000000000003</v>
      </c>
      <c r="R282" s="38">
        <v>1.26E-4</v>
      </c>
      <c r="S282" s="38">
        <v>0.1</v>
      </c>
      <c r="T282" s="38">
        <v>0.36299999999999999</v>
      </c>
    </row>
    <row r="283" spans="1:20" x14ac:dyDescent="0.15">
      <c r="A283" s="36" t="s">
        <v>554</v>
      </c>
      <c r="B283" s="37" t="s">
        <v>555</v>
      </c>
      <c r="C283" s="38">
        <v>260000</v>
      </c>
      <c r="D283" s="38" t="b">
        <v>0</v>
      </c>
      <c r="E283" s="38">
        <v>8</v>
      </c>
      <c r="F283" s="38" t="s">
        <v>506</v>
      </c>
      <c r="G283" s="38" t="s">
        <v>507</v>
      </c>
      <c r="H283" s="39">
        <v>44160</v>
      </c>
      <c r="I283" s="38">
        <v>34</v>
      </c>
      <c r="J283" s="38" t="s">
        <v>56</v>
      </c>
      <c r="K283" s="38" t="s">
        <v>57</v>
      </c>
      <c r="L283" s="38" t="s">
        <v>58</v>
      </c>
      <c r="M283" s="38">
        <v>0.55400000000000005</v>
      </c>
      <c r="N283" s="38">
        <v>0.66300000000000003</v>
      </c>
      <c r="O283" s="38">
        <v>-8.9610000000000003</v>
      </c>
      <c r="P283" s="38">
        <v>3.2399999999999998E-2</v>
      </c>
      <c r="Q283" s="38">
        <v>0.5</v>
      </c>
      <c r="R283" s="38">
        <v>4.7700000000000001E-5</v>
      </c>
      <c r="S283" s="38">
        <v>0.79100000000000004</v>
      </c>
      <c r="T283" s="38">
        <v>0.54500000000000004</v>
      </c>
    </row>
    <row r="284" spans="1:20" x14ac:dyDescent="0.15">
      <c r="A284" s="36" t="s">
        <v>556</v>
      </c>
      <c r="B284" s="37" t="s">
        <v>557</v>
      </c>
      <c r="C284" s="38">
        <v>209293</v>
      </c>
      <c r="D284" s="38" t="b">
        <v>0</v>
      </c>
      <c r="E284" s="38">
        <v>9</v>
      </c>
      <c r="F284" s="38" t="s">
        <v>506</v>
      </c>
      <c r="G284" s="38" t="s">
        <v>507</v>
      </c>
      <c r="H284" s="39">
        <v>44160</v>
      </c>
      <c r="I284" s="38">
        <v>34</v>
      </c>
      <c r="J284" s="38" t="s">
        <v>56</v>
      </c>
      <c r="K284" s="38" t="s">
        <v>57</v>
      </c>
      <c r="L284" s="38" t="s">
        <v>58</v>
      </c>
      <c r="M284" s="38">
        <v>0.435</v>
      </c>
      <c r="N284" s="38">
        <v>0.33200000000000002</v>
      </c>
      <c r="O284" s="38">
        <v>-11.611000000000001</v>
      </c>
      <c r="P284" s="38">
        <v>3.1E-2</v>
      </c>
      <c r="Q284" s="38">
        <v>0.92800000000000005</v>
      </c>
      <c r="R284" s="38">
        <v>8.9800000000000004E-4</v>
      </c>
      <c r="S284" s="38">
        <v>8.6699999999999999E-2</v>
      </c>
      <c r="T284" s="38">
        <v>0.157</v>
      </c>
    </row>
    <row r="285" spans="1:20" x14ac:dyDescent="0.15">
      <c r="A285" s="36" t="s">
        <v>558</v>
      </c>
      <c r="B285" s="37" t="s">
        <v>559</v>
      </c>
      <c r="C285" s="38">
        <v>183720</v>
      </c>
      <c r="D285" s="38" t="b">
        <v>0</v>
      </c>
      <c r="E285" s="38">
        <v>10</v>
      </c>
      <c r="F285" s="38" t="s">
        <v>506</v>
      </c>
      <c r="G285" s="38" t="s">
        <v>507</v>
      </c>
      <c r="H285" s="39">
        <v>44160</v>
      </c>
      <c r="I285" s="38">
        <v>34</v>
      </c>
      <c r="J285" s="38" t="s">
        <v>56</v>
      </c>
      <c r="K285" s="38" t="s">
        <v>57</v>
      </c>
      <c r="L285" s="38" t="s">
        <v>58</v>
      </c>
      <c r="M285" s="38">
        <v>0.48899999999999999</v>
      </c>
      <c r="N285" s="38">
        <v>0.23499999999999999</v>
      </c>
      <c r="O285" s="38">
        <v>-10.273999999999999</v>
      </c>
      <c r="P285" s="38">
        <v>3.56E-2</v>
      </c>
      <c r="Q285" s="38">
        <v>0.88300000000000001</v>
      </c>
      <c r="R285" s="38">
        <v>0</v>
      </c>
      <c r="S285" s="38">
        <v>0.113</v>
      </c>
      <c r="T285" s="38">
        <v>0.435</v>
      </c>
    </row>
    <row r="286" spans="1:20" x14ac:dyDescent="0.15">
      <c r="A286" s="36" t="s">
        <v>560</v>
      </c>
      <c r="B286" s="37" t="s">
        <v>561</v>
      </c>
      <c r="C286" s="38">
        <v>257359</v>
      </c>
      <c r="D286" s="38" t="b">
        <v>0</v>
      </c>
      <c r="E286" s="38">
        <v>11</v>
      </c>
      <c r="F286" s="38" t="s">
        <v>506</v>
      </c>
      <c r="G286" s="38" t="s">
        <v>507</v>
      </c>
      <c r="H286" s="39">
        <v>44160</v>
      </c>
      <c r="I286" s="38">
        <v>34</v>
      </c>
      <c r="J286" s="38" t="s">
        <v>56</v>
      </c>
      <c r="K286" s="38" t="s">
        <v>57</v>
      </c>
      <c r="L286" s="38" t="s">
        <v>58</v>
      </c>
      <c r="M286" s="38">
        <v>0.59</v>
      </c>
      <c r="N286" s="38">
        <v>0.28199999999999997</v>
      </c>
      <c r="O286" s="38">
        <v>-10.542</v>
      </c>
      <c r="P286" s="38">
        <v>2.81E-2</v>
      </c>
      <c r="Q286" s="38">
        <v>0.94199999999999995</v>
      </c>
      <c r="R286" s="38">
        <v>4.8500000000000002E-6</v>
      </c>
      <c r="S286" s="38">
        <v>0.11</v>
      </c>
      <c r="T286" s="38">
        <v>0.35099999999999998</v>
      </c>
    </row>
    <row r="287" spans="1:20" x14ac:dyDescent="0.15">
      <c r="A287" s="36" t="s">
        <v>562</v>
      </c>
      <c r="B287" s="37" t="s">
        <v>563</v>
      </c>
      <c r="C287" s="38">
        <v>238333</v>
      </c>
      <c r="D287" s="38" t="b">
        <v>1</v>
      </c>
      <c r="E287" s="38">
        <v>12</v>
      </c>
      <c r="F287" s="38" t="s">
        <v>506</v>
      </c>
      <c r="G287" s="38" t="s">
        <v>507</v>
      </c>
      <c r="H287" s="39">
        <v>44160</v>
      </c>
      <c r="I287" s="38">
        <v>34</v>
      </c>
      <c r="J287" s="38" t="s">
        <v>56</v>
      </c>
      <c r="K287" s="38" t="s">
        <v>57</v>
      </c>
      <c r="L287" s="38" t="s">
        <v>58</v>
      </c>
      <c r="M287" s="38">
        <v>0.66300000000000003</v>
      </c>
      <c r="N287" s="38">
        <v>0.46500000000000002</v>
      </c>
      <c r="O287" s="38">
        <v>-10.462999999999999</v>
      </c>
      <c r="P287" s="38">
        <v>4.0800000000000003E-2</v>
      </c>
      <c r="Q287" s="38">
        <v>0.88700000000000001</v>
      </c>
      <c r="R287" s="38">
        <v>1.6799999999999999E-4</v>
      </c>
      <c r="S287" s="38">
        <v>0.109</v>
      </c>
      <c r="T287" s="38">
        <v>0.34599999999999997</v>
      </c>
    </row>
    <row r="288" spans="1:20" x14ac:dyDescent="0.15">
      <c r="A288" s="36" t="s">
        <v>564</v>
      </c>
      <c r="B288" s="37" t="s">
        <v>565</v>
      </c>
      <c r="C288" s="38">
        <v>274880</v>
      </c>
      <c r="D288" s="38" t="b">
        <v>0</v>
      </c>
      <c r="E288" s="38">
        <v>13</v>
      </c>
      <c r="F288" s="38" t="s">
        <v>506</v>
      </c>
      <c r="G288" s="38" t="s">
        <v>507</v>
      </c>
      <c r="H288" s="39">
        <v>44160</v>
      </c>
      <c r="I288" s="38">
        <v>34</v>
      </c>
      <c r="J288" s="38" t="s">
        <v>56</v>
      </c>
      <c r="K288" s="38" t="s">
        <v>57</v>
      </c>
      <c r="L288" s="38" t="s">
        <v>58</v>
      </c>
      <c r="M288" s="38">
        <v>0.52400000000000002</v>
      </c>
      <c r="N288" s="38">
        <v>0.2</v>
      </c>
      <c r="O288" s="38">
        <v>-13.004</v>
      </c>
      <c r="P288" s="38">
        <v>2.7400000000000001E-2</v>
      </c>
      <c r="Q288" s="38">
        <v>0.91600000000000004</v>
      </c>
      <c r="R288" s="38">
        <v>3.9199999999999999E-4</v>
      </c>
      <c r="S288" s="38">
        <v>6.8000000000000005E-2</v>
      </c>
      <c r="T288" s="38">
        <v>0.113</v>
      </c>
    </row>
    <row r="289" spans="1:20" x14ac:dyDescent="0.15">
      <c r="A289" s="36" t="s">
        <v>566</v>
      </c>
      <c r="B289" s="37" t="s">
        <v>567</v>
      </c>
      <c r="C289" s="38">
        <v>290040</v>
      </c>
      <c r="D289" s="38" t="b">
        <v>1</v>
      </c>
      <c r="E289" s="38">
        <v>14</v>
      </c>
      <c r="F289" s="38" t="s">
        <v>506</v>
      </c>
      <c r="G289" s="38" t="s">
        <v>507</v>
      </c>
      <c r="H289" s="39">
        <v>44160</v>
      </c>
      <c r="I289" s="38">
        <v>34</v>
      </c>
      <c r="J289" s="38" t="s">
        <v>56</v>
      </c>
      <c r="K289" s="38" t="s">
        <v>57</v>
      </c>
      <c r="L289" s="38" t="s">
        <v>58</v>
      </c>
      <c r="M289" s="38">
        <v>0.53800000000000003</v>
      </c>
      <c r="N289" s="38">
        <v>0.316</v>
      </c>
      <c r="O289" s="38">
        <v>-9.5</v>
      </c>
      <c r="P289" s="38">
        <v>2.9899999999999999E-2</v>
      </c>
      <c r="Q289" s="38">
        <v>0.84099999999999997</v>
      </c>
      <c r="R289" s="38">
        <v>0</v>
      </c>
      <c r="S289" s="38">
        <v>0.11899999999999999</v>
      </c>
      <c r="T289" s="38">
        <v>0.51800000000000002</v>
      </c>
    </row>
    <row r="290" spans="1:20" x14ac:dyDescent="0.15">
      <c r="A290" s="36" t="s">
        <v>568</v>
      </c>
      <c r="B290" s="37" t="s">
        <v>569</v>
      </c>
      <c r="C290" s="38">
        <v>214373</v>
      </c>
      <c r="D290" s="38" t="b">
        <v>1</v>
      </c>
      <c r="E290" s="38">
        <v>15</v>
      </c>
      <c r="F290" s="38" t="s">
        <v>506</v>
      </c>
      <c r="G290" s="38" t="s">
        <v>507</v>
      </c>
      <c r="H290" s="39">
        <v>44160</v>
      </c>
      <c r="I290" s="38">
        <v>34</v>
      </c>
      <c r="J290" s="38" t="s">
        <v>56</v>
      </c>
      <c r="K290" s="38" t="s">
        <v>57</v>
      </c>
      <c r="L290" s="38" t="s">
        <v>58</v>
      </c>
      <c r="M290" s="38">
        <v>0.61899999999999999</v>
      </c>
      <c r="N290" s="38">
        <v>0.34399999999999997</v>
      </c>
      <c r="O290" s="38">
        <v>-11.472</v>
      </c>
      <c r="P290" s="38">
        <v>6.4699999999999994E-2</v>
      </c>
      <c r="Q290" s="38">
        <v>0.93</v>
      </c>
      <c r="R290" s="38">
        <v>7.6100000000000007E-5</v>
      </c>
      <c r="S290" s="38">
        <v>7.3400000000000007E-2</v>
      </c>
      <c r="T290" s="38">
        <v>0.51300000000000001</v>
      </c>
    </row>
    <row r="291" spans="1:20" x14ac:dyDescent="0.15">
      <c r="A291" s="36" t="s">
        <v>570</v>
      </c>
      <c r="B291" s="37" t="s">
        <v>571</v>
      </c>
      <c r="C291" s="38">
        <v>221800</v>
      </c>
      <c r="D291" s="38" t="b">
        <v>0</v>
      </c>
      <c r="E291" s="38">
        <v>16</v>
      </c>
      <c r="F291" s="38" t="s">
        <v>506</v>
      </c>
      <c r="G291" s="38" t="s">
        <v>507</v>
      </c>
      <c r="H291" s="39">
        <v>44160</v>
      </c>
      <c r="I291" s="38">
        <v>34</v>
      </c>
      <c r="J291" s="38" t="s">
        <v>56</v>
      </c>
      <c r="K291" s="38" t="s">
        <v>57</v>
      </c>
      <c r="L291" s="38" t="s">
        <v>58</v>
      </c>
      <c r="M291" s="38">
        <v>0.68200000000000005</v>
      </c>
      <c r="N291" s="38">
        <v>0.155</v>
      </c>
      <c r="O291" s="38">
        <v>-13.083</v>
      </c>
      <c r="P291" s="38">
        <v>3.9399999999999998E-2</v>
      </c>
      <c r="Q291" s="38">
        <v>0.96199999999999997</v>
      </c>
      <c r="R291" s="38">
        <v>0</v>
      </c>
      <c r="S291" s="38">
        <v>0.18</v>
      </c>
      <c r="T291" s="38">
        <v>0.48299999999999998</v>
      </c>
    </row>
    <row r="292" spans="1:20" x14ac:dyDescent="0.15">
      <c r="A292" s="36" t="s">
        <v>572</v>
      </c>
      <c r="B292" s="37" t="s">
        <v>573</v>
      </c>
      <c r="C292" s="38">
        <v>199733</v>
      </c>
      <c r="D292" s="38" t="b">
        <v>0</v>
      </c>
      <c r="E292" s="38">
        <v>17</v>
      </c>
      <c r="F292" s="38" t="s">
        <v>506</v>
      </c>
      <c r="G292" s="38" t="s">
        <v>507</v>
      </c>
      <c r="H292" s="39">
        <v>44160</v>
      </c>
      <c r="I292" s="38">
        <v>34</v>
      </c>
      <c r="J292" s="38" t="s">
        <v>56</v>
      </c>
      <c r="K292" s="38" t="s">
        <v>57</v>
      </c>
      <c r="L292" s="38" t="s">
        <v>58</v>
      </c>
      <c r="M292" s="38">
        <v>0.60599999999999998</v>
      </c>
      <c r="N292" s="38">
        <v>0.221</v>
      </c>
      <c r="O292" s="38">
        <v>-11.766999999999999</v>
      </c>
      <c r="P292" s="38">
        <v>4.6800000000000001E-2</v>
      </c>
      <c r="Q292" s="38">
        <v>0.79400000000000004</v>
      </c>
      <c r="R292" s="38">
        <v>0</v>
      </c>
      <c r="S292" s="38">
        <v>8.8800000000000004E-2</v>
      </c>
      <c r="T292" s="38">
        <v>0.112</v>
      </c>
    </row>
    <row r="293" spans="1:20" x14ac:dyDescent="0.15">
      <c r="A293" s="36" t="s">
        <v>504</v>
      </c>
      <c r="B293" s="37" t="s">
        <v>574</v>
      </c>
      <c r="C293" s="38">
        <v>210240</v>
      </c>
      <c r="D293" s="38" t="b">
        <v>1</v>
      </c>
      <c r="E293" s="38">
        <v>1</v>
      </c>
      <c r="F293" s="38" t="s">
        <v>575</v>
      </c>
      <c r="G293" s="38" t="s">
        <v>576</v>
      </c>
      <c r="H293" s="39">
        <v>44061</v>
      </c>
      <c r="I293" s="38">
        <v>17</v>
      </c>
      <c r="J293" s="38" t="s">
        <v>56</v>
      </c>
      <c r="K293" s="38" t="s">
        <v>57</v>
      </c>
      <c r="L293" s="38" t="s">
        <v>58</v>
      </c>
      <c r="M293" s="38">
        <v>0.78</v>
      </c>
      <c r="N293" s="38">
        <v>0.36099999999999999</v>
      </c>
      <c r="O293" s="38">
        <v>-6.9420000000000002</v>
      </c>
      <c r="P293" s="38">
        <v>4.8000000000000001E-2</v>
      </c>
      <c r="Q293" s="38">
        <v>0.75</v>
      </c>
      <c r="R293" s="38">
        <v>7.1400000000000002E-6</v>
      </c>
      <c r="S293" s="38">
        <v>0.108</v>
      </c>
      <c r="T293" s="38">
        <v>0.16300000000000001</v>
      </c>
    </row>
    <row r="294" spans="1:20" x14ac:dyDescent="0.15">
      <c r="A294" s="36" t="s">
        <v>508</v>
      </c>
      <c r="B294" s="37" t="s">
        <v>577</v>
      </c>
      <c r="C294" s="38">
        <v>239560</v>
      </c>
      <c r="D294" s="38" t="b">
        <v>0</v>
      </c>
      <c r="E294" s="38">
        <v>2</v>
      </c>
      <c r="F294" s="38" t="s">
        <v>575</v>
      </c>
      <c r="G294" s="38" t="s">
        <v>576</v>
      </c>
      <c r="H294" s="39">
        <v>44061</v>
      </c>
      <c r="I294" s="38">
        <v>17</v>
      </c>
      <c r="J294" s="38" t="s">
        <v>56</v>
      </c>
      <c r="K294" s="38" t="s">
        <v>57</v>
      </c>
      <c r="L294" s="38" t="s">
        <v>58</v>
      </c>
      <c r="M294" s="38">
        <v>0.61199999999999999</v>
      </c>
      <c r="N294" s="38">
        <v>0.57999999999999996</v>
      </c>
      <c r="O294" s="38">
        <v>-8.5719999999999992</v>
      </c>
      <c r="P294" s="38">
        <v>4.19E-2</v>
      </c>
      <c r="Q294" s="38">
        <v>0.52500000000000002</v>
      </c>
      <c r="R294" s="38">
        <v>4.1399999999999998E-4</v>
      </c>
      <c r="S294" s="38">
        <v>0.26</v>
      </c>
      <c r="T294" s="38">
        <v>0.53400000000000003</v>
      </c>
    </row>
    <row r="295" spans="1:20" x14ac:dyDescent="0.15">
      <c r="A295" s="36" t="s">
        <v>510</v>
      </c>
      <c r="B295" s="37" t="s">
        <v>578</v>
      </c>
      <c r="C295" s="38">
        <v>231000</v>
      </c>
      <c r="D295" s="38" t="b">
        <v>1</v>
      </c>
      <c r="E295" s="38">
        <v>3</v>
      </c>
      <c r="F295" s="38" t="s">
        <v>575</v>
      </c>
      <c r="G295" s="38" t="s">
        <v>576</v>
      </c>
      <c r="H295" s="39">
        <v>44061</v>
      </c>
      <c r="I295" s="38">
        <v>17</v>
      </c>
      <c r="J295" s="38" t="s">
        <v>56</v>
      </c>
      <c r="K295" s="38" t="s">
        <v>57</v>
      </c>
      <c r="L295" s="38" t="s">
        <v>58</v>
      </c>
      <c r="M295" s="38">
        <v>0.68799999999999994</v>
      </c>
      <c r="N295" s="38">
        <v>0.65300000000000002</v>
      </c>
      <c r="O295" s="38">
        <v>-8.5579999999999998</v>
      </c>
      <c r="P295" s="38">
        <v>4.0300000000000002E-2</v>
      </c>
      <c r="Q295" s="38">
        <v>0.48099999999999998</v>
      </c>
      <c r="R295" s="38">
        <v>4.1399999999999996E-3</v>
      </c>
      <c r="S295" s="38">
        <v>0.106</v>
      </c>
      <c r="T295" s="38">
        <v>0.70099999999999996</v>
      </c>
    </row>
    <row r="296" spans="1:20" x14ac:dyDescent="0.15">
      <c r="A296" s="36" t="s">
        <v>512</v>
      </c>
      <c r="B296" s="37" t="s">
        <v>579</v>
      </c>
      <c r="C296" s="38">
        <v>285640</v>
      </c>
      <c r="D296" s="38" t="b">
        <v>0</v>
      </c>
      <c r="E296" s="38">
        <v>4</v>
      </c>
      <c r="F296" s="38" t="s">
        <v>575</v>
      </c>
      <c r="G296" s="38" t="s">
        <v>576</v>
      </c>
      <c r="H296" s="39">
        <v>44061</v>
      </c>
      <c r="I296" s="38">
        <v>17</v>
      </c>
      <c r="J296" s="38" t="s">
        <v>56</v>
      </c>
      <c r="K296" s="38" t="s">
        <v>57</v>
      </c>
      <c r="L296" s="38" t="s">
        <v>58</v>
      </c>
      <c r="M296" s="38">
        <v>0.31</v>
      </c>
      <c r="N296" s="38">
        <v>0.374</v>
      </c>
      <c r="O296" s="38">
        <v>-8.4640000000000004</v>
      </c>
      <c r="P296" s="38">
        <v>2.75E-2</v>
      </c>
      <c r="Q296" s="38">
        <v>0.76100000000000001</v>
      </c>
      <c r="R296" s="38">
        <v>2.4600000000000002E-5</v>
      </c>
      <c r="S296" s="38">
        <v>0.11</v>
      </c>
      <c r="T296" s="38">
        <v>0.16</v>
      </c>
    </row>
    <row r="297" spans="1:20" x14ac:dyDescent="0.15">
      <c r="A297" s="36" t="s">
        <v>514</v>
      </c>
      <c r="B297" s="37" t="s">
        <v>580</v>
      </c>
      <c r="C297" s="38">
        <v>255893</v>
      </c>
      <c r="D297" s="38" t="b">
        <v>0</v>
      </c>
      <c r="E297" s="38">
        <v>5</v>
      </c>
      <c r="F297" s="38" t="s">
        <v>575</v>
      </c>
      <c r="G297" s="38" t="s">
        <v>576</v>
      </c>
      <c r="H297" s="39">
        <v>44061</v>
      </c>
      <c r="I297" s="38">
        <v>17</v>
      </c>
      <c r="J297" s="38" t="s">
        <v>56</v>
      </c>
      <c r="K297" s="38" t="s">
        <v>57</v>
      </c>
      <c r="L297" s="38" t="s">
        <v>58</v>
      </c>
      <c r="M297" s="38">
        <v>0.45600000000000002</v>
      </c>
      <c r="N297" s="38">
        <v>0.26500000000000001</v>
      </c>
      <c r="O297" s="38">
        <v>-10.663</v>
      </c>
      <c r="P297" s="38">
        <v>3.2800000000000003E-2</v>
      </c>
      <c r="Q297" s="38">
        <v>0.81399999999999995</v>
      </c>
      <c r="R297" s="38">
        <v>0</v>
      </c>
      <c r="S297" s="38">
        <v>6.7900000000000002E-2</v>
      </c>
      <c r="T297" s="38">
        <v>0.112</v>
      </c>
    </row>
    <row r="298" spans="1:20" x14ac:dyDescent="0.15">
      <c r="A298" s="36" t="s">
        <v>516</v>
      </c>
      <c r="B298" s="37" t="s">
        <v>581</v>
      </c>
      <c r="C298" s="38">
        <v>208973</v>
      </c>
      <c r="D298" s="38" t="b">
        <v>0</v>
      </c>
      <c r="E298" s="38">
        <v>6</v>
      </c>
      <c r="F298" s="38" t="s">
        <v>575</v>
      </c>
      <c r="G298" s="38" t="s">
        <v>576</v>
      </c>
      <c r="H298" s="39">
        <v>44061</v>
      </c>
      <c r="I298" s="38">
        <v>17</v>
      </c>
      <c r="J298" s="38" t="s">
        <v>56</v>
      </c>
      <c r="K298" s="38" t="s">
        <v>57</v>
      </c>
      <c r="L298" s="38" t="s">
        <v>58</v>
      </c>
      <c r="M298" s="38">
        <v>0.54900000000000004</v>
      </c>
      <c r="N298" s="38">
        <v>0.41699999999999998</v>
      </c>
      <c r="O298" s="38">
        <v>-10.064</v>
      </c>
      <c r="P298" s="38">
        <v>3.5000000000000003E-2</v>
      </c>
      <c r="Q298" s="38">
        <v>0.68600000000000005</v>
      </c>
      <c r="R298" s="38">
        <v>1.9E-6</v>
      </c>
      <c r="S298" s="38">
        <v>6.0400000000000002E-2</v>
      </c>
      <c r="T298" s="38">
        <v>0.34699999999999998</v>
      </c>
    </row>
    <row r="299" spans="1:20" x14ac:dyDescent="0.15">
      <c r="A299" s="36" t="s">
        <v>518</v>
      </c>
      <c r="B299" s="37" t="s">
        <v>582</v>
      </c>
      <c r="C299" s="38">
        <v>208906</v>
      </c>
      <c r="D299" s="38" t="b">
        <v>0</v>
      </c>
      <c r="E299" s="38">
        <v>7</v>
      </c>
      <c r="F299" s="38" t="s">
        <v>575</v>
      </c>
      <c r="G299" s="38" t="s">
        <v>576</v>
      </c>
      <c r="H299" s="39">
        <v>44061</v>
      </c>
      <c r="I299" s="38">
        <v>17</v>
      </c>
      <c r="J299" s="38" t="s">
        <v>56</v>
      </c>
      <c r="K299" s="38" t="s">
        <v>57</v>
      </c>
      <c r="L299" s="38" t="s">
        <v>58</v>
      </c>
      <c r="M299" s="38">
        <v>0.60199999999999998</v>
      </c>
      <c r="N299" s="38">
        <v>0.49399999999999999</v>
      </c>
      <c r="O299" s="38">
        <v>-10.813000000000001</v>
      </c>
      <c r="P299" s="38">
        <v>2.7699999999999999E-2</v>
      </c>
      <c r="Q299" s="38">
        <v>0.88800000000000001</v>
      </c>
      <c r="R299" s="38">
        <v>2.5899999999999999E-5</v>
      </c>
      <c r="S299" s="38">
        <v>9.0200000000000002E-2</v>
      </c>
      <c r="T299" s="38">
        <v>0.374</v>
      </c>
    </row>
    <row r="300" spans="1:20" x14ac:dyDescent="0.15">
      <c r="A300" s="36" t="s">
        <v>520</v>
      </c>
      <c r="B300" s="37" t="s">
        <v>583</v>
      </c>
      <c r="C300" s="38">
        <v>261920</v>
      </c>
      <c r="D300" s="38" t="b">
        <v>0</v>
      </c>
      <c r="E300" s="38">
        <v>8</v>
      </c>
      <c r="F300" s="38" t="s">
        <v>575</v>
      </c>
      <c r="G300" s="38" t="s">
        <v>576</v>
      </c>
      <c r="H300" s="39">
        <v>44061</v>
      </c>
      <c r="I300" s="38">
        <v>17</v>
      </c>
      <c r="J300" s="38" t="s">
        <v>56</v>
      </c>
      <c r="K300" s="38" t="s">
        <v>57</v>
      </c>
      <c r="L300" s="38" t="s">
        <v>58</v>
      </c>
      <c r="M300" s="38">
        <v>0.38700000000000001</v>
      </c>
      <c r="N300" s="38">
        <v>0.63400000000000001</v>
      </c>
      <c r="O300" s="38">
        <v>-9.2219999999999995</v>
      </c>
      <c r="P300" s="38">
        <v>3.6299999999999999E-2</v>
      </c>
      <c r="Q300" s="38">
        <v>0.55300000000000005</v>
      </c>
      <c r="R300" s="38">
        <v>6.9300000000000004E-5</v>
      </c>
      <c r="S300" s="38">
        <v>9.3100000000000002E-2</v>
      </c>
      <c r="T300" s="38">
        <v>0.42</v>
      </c>
    </row>
    <row r="301" spans="1:20" x14ac:dyDescent="0.15">
      <c r="A301" s="36" t="s">
        <v>522</v>
      </c>
      <c r="B301" s="37" t="s">
        <v>584</v>
      </c>
      <c r="C301" s="38">
        <v>195106</v>
      </c>
      <c r="D301" s="38" t="b">
        <v>0</v>
      </c>
      <c r="E301" s="38">
        <v>9</v>
      </c>
      <c r="F301" s="38" t="s">
        <v>575</v>
      </c>
      <c r="G301" s="38" t="s">
        <v>576</v>
      </c>
      <c r="H301" s="39">
        <v>44061</v>
      </c>
      <c r="I301" s="38">
        <v>17</v>
      </c>
      <c r="J301" s="38" t="s">
        <v>56</v>
      </c>
      <c r="K301" s="38" t="s">
        <v>57</v>
      </c>
      <c r="L301" s="38" t="s">
        <v>58</v>
      </c>
      <c r="M301" s="38">
        <v>0.51100000000000001</v>
      </c>
      <c r="N301" s="38">
        <v>0.47799999999999998</v>
      </c>
      <c r="O301" s="38">
        <v>-9.8369999999999997</v>
      </c>
      <c r="P301" s="38">
        <v>3.2199999999999999E-2</v>
      </c>
      <c r="Q301" s="38">
        <v>0.312</v>
      </c>
      <c r="R301" s="38">
        <v>2.3E-5</v>
      </c>
      <c r="S301" s="38">
        <v>0.14699999999999999</v>
      </c>
      <c r="T301" s="38">
        <v>0.40799999999999997</v>
      </c>
    </row>
    <row r="302" spans="1:20" x14ac:dyDescent="0.15">
      <c r="A302" s="36" t="s">
        <v>524</v>
      </c>
      <c r="B302" s="37" t="s">
        <v>585</v>
      </c>
      <c r="C302" s="38">
        <v>190893</v>
      </c>
      <c r="D302" s="38" t="b">
        <v>0</v>
      </c>
      <c r="E302" s="38">
        <v>10</v>
      </c>
      <c r="F302" s="38" t="s">
        <v>575</v>
      </c>
      <c r="G302" s="38" t="s">
        <v>576</v>
      </c>
      <c r="H302" s="39">
        <v>44061</v>
      </c>
      <c r="I302" s="38">
        <v>17</v>
      </c>
      <c r="J302" s="38" t="s">
        <v>56</v>
      </c>
      <c r="K302" s="38" t="s">
        <v>57</v>
      </c>
      <c r="L302" s="38" t="s">
        <v>58</v>
      </c>
      <c r="M302" s="38">
        <v>0.52900000000000003</v>
      </c>
      <c r="N302" s="38">
        <v>0.30399999999999999</v>
      </c>
      <c r="O302" s="38">
        <v>-10.567</v>
      </c>
      <c r="P302" s="38">
        <v>3.56E-2</v>
      </c>
      <c r="Q302" s="38">
        <v>0.86199999999999999</v>
      </c>
      <c r="R302" s="38">
        <v>0</v>
      </c>
      <c r="S302" s="38">
        <v>0.108</v>
      </c>
      <c r="T302" s="38">
        <v>0.44</v>
      </c>
    </row>
    <row r="303" spans="1:20" x14ac:dyDescent="0.15">
      <c r="A303" s="36" t="s">
        <v>526</v>
      </c>
      <c r="B303" s="37" t="s">
        <v>586</v>
      </c>
      <c r="C303" s="38">
        <v>252880</v>
      </c>
      <c r="D303" s="38" t="b">
        <v>0</v>
      </c>
      <c r="E303" s="38">
        <v>11</v>
      </c>
      <c r="F303" s="38" t="s">
        <v>575</v>
      </c>
      <c r="G303" s="38" t="s">
        <v>576</v>
      </c>
      <c r="H303" s="39">
        <v>44061</v>
      </c>
      <c r="I303" s="38">
        <v>17</v>
      </c>
      <c r="J303" s="38" t="s">
        <v>56</v>
      </c>
      <c r="K303" s="38" t="s">
        <v>57</v>
      </c>
      <c r="L303" s="38" t="s">
        <v>58</v>
      </c>
      <c r="M303" s="38">
        <v>0.65100000000000002</v>
      </c>
      <c r="N303" s="38">
        <v>0.45900000000000002</v>
      </c>
      <c r="O303" s="38">
        <v>-11.128</v>
      </c>
      <c r="P303" s="38">
        <v>5.0700000000000002E-2</v>
      </c>
      <c r="Q303" s="38">
        <v>0.85899999999999999</v>
      </c>
      <c r="R303" s="38">
        <v>6.6299999999999999E-5</v>
      </c>
      <c r="S303" s="38">
        <v>0.105</v>
      </c>
      <c r="T303" s="38">
        <v>0.45400000000000001</v>
      </c>
    </row>
    <row r="304" spans="1:20" x14ac:dyDescent="0.15">
      <c r="A304" s="36" t="s">
        <v>528</v>
      </c>
      <c r="B304" s="37" t="s">
        <v>587</v>
      </c>
      <c r="C304" s="38">
        <v>237266</v>
      </c>
      <c r="D304" s="38" t="b">
        <v>1</v>
      </c>
      <c r="E304" s="38">
        <v>12</v>
      </c>
      <c r="F304" s="38" t="s">
        <v>575</v>
      </c>
      <c r="G304" s="38" t="s">
        <v>576</v>
      </c>
      <c r="H304" s="39">
        <v>44061</v>
      </c>
      <c r="I304" s="38">
        <v>17</v>
      </c>
      <c r="J304" s="38" t="s">
        <v>56</v>
      </c>
      <c r="K304" s="38" t="s">
        <v>57</v>
      </c>
      <c r="L304" s="38" t="s">
        <v>58</v>
      </c>
      <c r="M304" s="38">
        <v>0.59299999999999997</v>
      </c>
      <c r="N304" s="38">
        <v>0.7</v>
      </c>
      <c r="O304" s="38">
        <v>-9.016</v>
      </c>
      <c r="P304" s="38">
        <v>4.9200000000000001E-2</v>
      </c>
      <c r="Q304" s="38">
        <v>0.67</v>
      </c>
      <c r="R304" s="38">
        <v>6.7700000000000004E-6</v>
      </c>
      <c r="S304" s="38">
        <v>0.11600000000000001</v>
      </c>
      <c r="T304" s="38">
        <v>0.45100000000000001</v>
      </c>
    </row>
    <row r="305" spans="1:20" x14ac:dyDescent="0.15">
      <c r="A305" s="36" t="s">
        <v>530</v>
      </c>
      <c r="B305" s="37" t="s">
        <v>588</v>
      </c>
      <c r="C305" s="38">
        <v>289746</v>
      </c>
      <c r="D305" s="38" t="b">
        <v>0</v>
      </c>
      <c r="E305" s="38">
        <v>13</v>
      </c>
      <c r="F305" s="38" t="s">
        <v>575</v>
      </c>
      <c r="G305" s="38" t="s">
        <v>576</v>
      </c>
      <c r="H305" s="39">
        <v>44061</v>
      </c>
      <c r="I305" s="38">
        <v>17</v>
      </c>
      <c r="J305" s="38" t="s">
        <v>56</v>
      </c>
      <c r="K305" s="38" t="s">
        <v>57</v>
      </c>
      <c r="L305" s="38" t="s">
        <v>58</v>
      </c>
      <c r="M305" s="38">
        <v>0.317</v>
      </c>
      <c r="N305" s="38">
        <v>0.254</v>
      </c>
      <c r="O305" s="38">
        <v>-13.679</v>
      </c>
      <c r="P305" s="38">
        <v>2.86E-2</v>
      </c>
      <c r="Q305" s="38">
        <v>0.72699999999999998</v>
      </c>
      <c r="R305" s="38">
        <v>3.2600000000000001E-4</v>
      </c>
      <c r="S305" s="38">
        <v>8.6699999999999999E-2</v>
      </c>
      <c r="T305" s="38">
        <v>0.10299999999999999</v>
      </c>
    </row>
    <row r="306" spans="1:20" x14ac:dyDescent="0.15">
      <c r="A306" s="36" t="s">
        <v>532</v>
      </c>
      <c r="B306" s="37" t="s">
        <v>589</v>
      </c>
      <c r="C306" s="38">
        <v>294520</v>
      </c>
      <c r="D306" s="38" t="b">
        <v>1</v>
      </c>
      <c r="E306" s="38">
        <v>14</v>
      </c>
      <c r="F306" s="38" t="s">
        <v>575</v>
      </c>
      <c r="G306" s="38" t="s">
        <v>576</v>
      </c>
      <c r="H306" s="39">
        <v>44061</v>
      </c>
      <c r="I306" s="38">
        <v>17</v>
      </c>
      <c r="J306" s="38" t="s">
        <v>56</v>
      </c>
      <c r="K306" s="38" t="s">
        <v>57</v>
      </c>
      <c r="L306" s="38" t="s">
        <v>58</v>
      </c>
      <c r="M306" s="38">
        <v>0.59499999999999997</v>
      </c>
      <c r="N306" s="38">
        <v>0.376</v>
      </c>
      <c r="O306" s="38">
        <v>-8.7669999999999995</v>
      </c>
      <c r="P306" s="38">
        <v>2.5600000000000001E-2</v>
      </c>
      <c r="Q306" s="38">
        <v>0.58899999999999997</v>
      </c>
      <c r="R306" s="38">
        <v>0</v>
      </c>
      <c r="S306" s="38">
        <v>9.8900000000000002E-2</v>
      </c>
      <c r="T306" s="38">
        <v>0.47599999999999998</v>
      </c>
    </row>
    <row r="307" spans="1:20" x14ac:dyDescent="0.15">
      <c r="A307" s="36" t="s">
        <v>534</v>
      </c>
      <c r="B307" s="37" t="s">
        <v>590</v>
      </c>
      <c r="C307" s="38">
        <v>234000</v>
      </c>
      <c r="D307" s="38" t="b">
        <v>1</v>
      </c>
      <c r="E307" s="38">
        <v>15</v>
      </c>
      <c r="F307" s="38" t="s">
        <v>575</v>
      </c>
      <c r="G307" s="38" t="s">
        <v>576</v>
      </c>
      <c r="H307" s="39">
        <v>44061</v>
      </c>
      <c r="I307" s="38">
        <v>17</v>
      </c>
      <c r="J307" s="38" t="s">
        <v>56</v>
      </c>
      <c r="K307" s="38" t="s">
        <v>57</v>
      </c>
      <c r="L307" s="38" t="s">
        <v>58</v>
      </c>
      <c r="M307" s="38">
        <v>0.64400000000000002</v>
      </c>
      <c r="N307" s="38">
        <v>0.28399999999999997</v>
      </c>
      <c r="O307" s="38">
        <v>-12.879</v>
      </c>
      <c r="P307" s="38">
        <v>8.2100000000000006E-2</v>
      </c>
      <c r="Q307" s="38">
        <v>0.91600000000000004</v>
      </c>
      <c r="R307" s="38">
        <v>1.5E-5</v>
      </c>
      <c r="S307" s="38">
        <v>9.0899999999999995E-2</v>
      </c>
      <c r="T307" s="38">
        <v>0.32800000000000001</v>
      </c>
    </row>
    <row r="308" spans="1:20" x14ac:dyDescent="0.15">
      <c r="A308" s="36" t="s">
        <v>536</v>
      </c>
      <c r="B308" s="37" t="s">
        <v>591</v>
      </c>
      <c r="C308" s="38">
        <v>220040</v>
      </c>
      <c r="D308" s="38" t="b">
        <v>0</v>
      </c>
      <c r="E308" s="38">
        <v>16</v>
      </c>
      <c r="F308" s="38" t="s">
        <v>575</v>
      </c>
      <c r="G308" s="38" t="s">
        <v>576</v>
      </c>
      <c r="H308" s="39">
        <v>44061</v>
      </c>
      <c r="I308" s="38">
        <v>17</v>
      </c>
      <c r="J308" s="38" t="s">
        <v>56</v>
      </c>
      <c r="K308" s="38" t="s">
        <v>57</v>
      </c>
      <c r="L308" s="38" t="s">
        <v>58</v>
      </c>
      <c r="M308" s="38">
        <v>0.67600000000000005</v>
      </c>
      <c r="N308" s="38">
        <v>0.17799999999999999</v>
      </c>
      <c r="O308" s="38">
        <v>-15.01</v>
      </c>
      <c r="P308" s="38">
        <v>3.9399999999999998E-2</v>
      </c>
      <c r="Q308" s="38">
        <v>0.96399999999999997</v>
      </c>
      <c r="R308" s="38">
        <v>7.9000000000000006E-6</v>
      </c>
      <c r="S308" s="38">
        <v>0.13500000000000001</v>
      </c>
      <c r="T308" s="38">
        <v>0.40400000000000003</v>
      </c>
    </row>
    <row r="309" spans="1:20" x14ac:dyDescent="0.15">
      <c r="A309" s="36" t="s">
        <v>538</v>
      </c>
      <c r="B309" s="37" t="s">
        <v>592</v>
      </c>
      <c r="C309" s="38">
        <v>211813</v>
      </c>
      <c r="D309" s="38" t="b">
        <v>0</v>
      </c>
      <c r="E309" s="38">
        <v>17</v>
      </c>
      <c r="F309" s="38" t="s">
        <v>575</v>
      </c>
      <c r="G309" s="38" t="s">
        <v>576</v>
      </c>
      <c r="H309" s="39">
        <v>44061</v>
      </c>
      <c r="I309" s="38">
        <v>17</v>
      </c>
      <c r="J309" s="38" t="s">
        <v>56</v>
      </c>
      <c r="K309" s="38" t="s">
        <v>57</v>
      </c>
      <c r="L309" s="38" t="s">
        <v>58</v>
      </c>
      <c r="M309" s="38">
        <v>0.313</v>
      </c>
      <c r="N309" s="38">
        <v>0.25800000000000001</v>
      </c>
      <c r="O309" s="38">
        <v>-11.532</v>
      </c>
      <c r="P309" s="38">
        <v>3.8300000000000001E-2</v>
      </c>
      <c r="Q309" s="38">
        <v>0.84199999999999997</v>
      </c>
      <c r="R309" s="38">
        <v>1.3E-6</v>
      </c>
      <c r="S309" s="38">
        <v>9.4799999999999995E-2</v>
      </c>
      <c r="T309" s="38">
        <v>0.26800000000000002</v>
      </c>
    </row>
    <row r="310" spans="1:20" x14ac:dyDescent="0.15">
      <c r="A310" s="36" t="s">
        <v>504</v>
      </c>
      <c r="B310" s="37" t="s">
        <v>593</v>
      </c>
      <c r="C310" s="38">
        <v>210251</v>
      </c>
      <c r="D310" s="38" t="b">
        <v>1</v>
      </c>
      <c r="E310" s="38">
        <v>1</v>
      </c>
      <c r="F310" s="38" t="s">
        <v>594</v>
      </c>
      <c r="G310" s="38" t="s">
        <v>595</v>
      </c>
      <c r="H310" s="39">
        <v>44036</v>
      </c>
      <c r="I310" s="38">
        <v>16</v>
      </c>
      <c r="J310" s="38" t="s">
        <v>56</v>
      </c>
      <c r="K310" s="38" t="s">
        <v>57</v>
      </c>
      <c r="L310" s="38" t="s">
        <v>58</v>
      </c>
      <c r="M310" s="38">
        <v>0.77700000000000002</v>
      </c>
      <c r="N310" s="38">
        <v>0.35699999999999998</v>
      </c>
      <c r="O310" s="38">
        <v>-6.9420000000000002</v>
      </c>
      <c r="P310" s="38">
        <v>5.2200000000000003E-2</v>
      </c>
      <c r="Q310" s="38">
        <v>0.75700000000000001</v>
      </c>
      <c r="R310" s="38">
        <v>7.2799999999999998E-6</v>
      </c>
      <c r="S310" s="38">
        <v>0.108</v>
      </c>
      <c r="T310" s="38">
        <v>0.17199999999999999</v>
      </c>
    </row>
    <row r="311" spans="1:20" x14ac:dyDescent="0.15">
      <c r="A311" s="36" t="s">
        <v>508</v>
      </c>
      <c r="B311" s="37" t="s">
        <v>596</v>
      </c>
      <c r="C311" s="38">
        <v>239560</v>
      </c>
      <c r="D311" s="38" t="b">
        <v>0</v>
      </c>
      <c r="E311" s="38">
        <v>2</v>
      </c>
      <c r="F311" s="38" t="s">
        <v>594</v>
      </c>
      <c r="G311" s="38" t="s">
        <v>595</v>
      </c>
      <c r="H311" s="39">
        <v>44036</v>
      </c>
      <c r="I311" s="38">
        <v>16</v>
      </c>
      <c r="J311" s="38" t="s">
        <v>56</v>
      </c>
      <c r="K311" s="38" t="s">
        <v>57</v>
      </c>
      <c r="L311" s="38" t="s">
        <v>58</v>
      </c>
      <c r="M311" s="38">
        <v>0.61299999999999999</v>
      </c>
      <c r="N311" s="38">
        <v>0.58099999999999996</v>
      </c>
      <c r="O311" s="38">
        <v>-8.5879999999999992</v>
      </c>
      <c r="P311" s="38">
        <v>4.24E-2</v>
      </c>
      <c r="Q311" s="38">
        <v>0.53700000000000003</v>
      </c>
      <c r="R311" s="38">
        <v>3.4499999999999998E-4</v>
      </c>
      <c r="S311" s="38">
        <v>0.25</v>
      </c>
      <c r="T311" s="38">
        <v>0.55100000000000005</v>
      </c>
    </row>
    <row r="312" spans="1:20" x14ac:dyDescent="0.15">
      <c r="A312" s="36" t="s">
        <v>510</v>
      </c>
      <c r="B312" s="37" t="s">
        <v>597</v>
      </c>
      <c r="C312" s="38">
        <v>230999</v>
      </c>
      <c r="D312" s="38" t="b">
        <v>1</v>
      </c>
      <c r="E312" s="38">
        <v>3</v>
      </c>
      <c r="F312" s="38" t="s">
        <v>594</v>
      </c>
      <c r="G312" s="38" t="s">
        <v>595</v>
      </c>
      <c r="H312" s="39">
        <v>44036</v>
      </c>
      <c r="I312" s="38">
        <v>16</v>
      </c>
      <c r="J312" s="38" t="s">
        <v>56</v>
      </c>
      <c r="K312" s="38" t="s">
        <v>57</v>
      </c>
      <c r="L312" s="38" t="s">
        <v>58</v>
      </c>
      <c r="M312" s="38">
        <v>0.68600000000000005</v>
      </c>
      <c r="N312" s="38">
        <v>0.66200000000000003</v>
      </c>
      <c r="O312" s="38">
        <v>-8.5050000000000008</v>
      </c>
      <c r="P312" s="38">
        <v>4.1300000000000003E-2</v>
      </c>
      <c r="Q312" s="38">
        <v>0.46700000000000003</v>
      </c>
      <c r="R312" s="38">
        <v>2.3E-3</v>
      </c>
      <c r="S312" s="38">
        <v>0.109</v>
      </c>
      <c r="T312" s="38">
        <v>0.70599999999999996</v>
      </c>
    </row>
    <row r="313" spans="1:20" x14ac:dyDescent="0.15">
      <c r="A313" s="36" t="s">
        <v>512</v>
      </c>
      <c r="B313" s="37" t="s">
        <v>598</v>
      </c>
      <c r="C313" s="38">
        <v>285634</v>
      </c>
      <c r="D313" s="38" t="b">
        <v>0</v>
      </c>
      <c r="E313" s="38">
        <v>4</v>
      </c>
      <c r="F313" s="38" t="s">
        <v>594</v>
      </c>
      <c r="G313" s="38" t="s">
        <v>595</v>
      </c>
      <c r="H313" s="39">
        <v>44036</v>
      </c>
      <c r="I313" s="38">
        <v>16</v>
      </c>
      <c r="J313" s="38" t="s">
        <v>56</v>
      </c>
      <c r="K313" s="38" t="s">
        <v>57</v>
      </c>
      <c r="L313" s="38" t="s">
        <v>58</v>
      </c>
      <c r="M313" s="38">
        <v>0.29799999999999999</v>
      </c>
      <c r="N313" s="38">
        <v>0.38</v>
      </c>
      <c r="O313" s="38">
        <v>-8.4260000000000002</v>
      </c>
      <c r="P313" s="38">
        <v>2.87E-2</v>
      </c>
      <c r="Q313" s="38">
        <v>0.77800000000000002</v>
      </c>
      <c r="R313" s="38">
        <v>5.6199999999999997E-5</v>
      </c>
      <c r="S313" s="38">
        <v>0.11</v>
      </c>
      <c r="T313" s="38">
        <v>0.152</v>
      </c>
    </row>
    <row r="314" spans="1:20" x14ac:dyDescent="0.15">
      <c r="A314" s="36" t="s">
        <v>514</v>
      </c>
      <c r="B314" s="37" t="s">
        <v>599</v>
      </c>
      <c r="C314" s="38">
        <v>255893</v>
      </c>
      <c r="D314" s="38" t="b">
        <v>0</v>
      </c>
      <c r="E314" s="38">
        <v>5</v>
      </c>
      <c r="F314" s="38" t="s">
        <v>594</v>
      </c>
      <c r="G314" s="38" t="s">
        <v>595</v>
      </c>
      <c r="H314" s="39">
        <v>44036</v>
      </c>
      <c r="I314" s="38">
        <v>16</v>
      </c>
      <c r="J314" s="38" t="s">
        <v>56</v>
      </c>
      <c r="K314" s="38" t="s">
        <v>57</v>
      </c>
      <c r="L314" s="38" t="s">
        <v>58</v>
      </c>
      <c r="M314" s="38">
        <v>0.46899999999999997</v>
      </c>
      <c r="N314" s="38">
        <v>0.26300000000000001</v>
      </c>
      <c r="O314" s="38">
        <v>-10.63</v>
      </c>
      <c r="P314" s="38">
        <v>3.2899999999999999E-2</v>
      </c>
      <c r="Q314" s="38">
        <v>0.80600000000000005</v>
      </c>
      <c r="R314" s="38">
        <v>0</v>
      </c>
      <c r="S314" s="38">
        <v>7.4899999999999994E-2</v>
      </c>
      <c r="T314" s="38">
        <v>0.112</v>
      </c>
    </row>
    <row r="315" spans="1:20" x14ac:dyDescent="0.15">
      <c r="A315" s="36" t="s">
        <v>516</v>
      </c>
      <c r="B315" s="37" t="s">
        <v>600</v>
      </c>
      <c r="C315" s="38">
        <v>208977</v>
      </c>
      <c r="D315" s="38" t="b">
        <v>0</v>
      </c>
      <c r="E315" s="38">
        <v>6</v>
      </c>
      <c r="F315" s="38" t="s">
        <v>594</v>
      </c>
      <c r="G315" s="38" t="s">
        <v>595</v>
      </c>
      <c r="H315" s="39">
        <v>44036</v>
      </c>
      <c r="I315" s="38">
        <v>16</v>
      </c>
      <c r="J315" s="38" t="s">
        <v>56</v>
      </c>
      <c r="K315" s="38" t="s">
        <v>57</v>
      </c>
      <c r="L315" s="38" t="s">
        <v>58</v>
      </c>
      <c r="M315" s="38">
        <v>0.55300000000000005</v>
      </c>
      <c r="N315" s="38">
        <v>0.41299999999999998</v>
      </c>
      <c r="O315" s="38">
        <v>-10.037000000000001</v>
      </c>
      <c r="P315" s="38">
        <v>3.3399999999999999E-2</v>
      </c>
      <c r="Q315" s="38">
        <v>0.68700000000000006</v>
      </c>
      <c r="R315" s="38">
        <v>2.3300000000000001E-6</v>
      </c>
      <c r="S315" s="38">
        <v>5.9400000000000001E-2</v>
      </c>
      <c r="T315" s="38">
        <v>0.379</v>
      </c>
    </row>
    <row r="316" spans="1:20" x14ac:dyDescent="0.15">
      <c r="A316" s="36" t="s">
        <v>518</v>
      </c>
      <c r="B316" s="37" t="s">
        <v>601</v>
      </c>
      <c r="C316" s="38">
        <v>208906</v>
      </c>
      <c r="D316" s="38" t="b">
        <v>0</v>
      </c>
      <c r="E316" s="38">
        <v>7</v>
      </c>
      <c r="F316" s="38" t="s">
        <v>594</v>
      </c>
      <c r="G316" s="38" t="s">
        <v>595</v>
      </c>
      <c r="H316" s="39">
        <v>44036</v>
      </c>
      <c r="I316" s="38">
        <v>16</v>
      </c>
      <c r="J316" s="38" t="s">
        <v>56</v>
      </c>
      <c r="K316" s="38" t="s">
        <v>57</v>
      </c>
      <c r="L316" s="38" t="s">
        <v>58</v>
      </c>
      <c r="M316" s="38">
        <v>0.59599999999999997</v>
      </c>
      <c r="N316" s="38">
        <v>0.48799999999999999</v>
      </c>
      <c r="O316" s="38">
        <v>-10.769</v>
      </c>
      <c r="P316" s="38">
        <v>2.7400000000000001E-2</v>
      </c>
      <c r="Q316" s="38">
        <v>0.9</v>
      </c>
      <c r="R316" s="38">
        <v>2.6999999999999999E-5</v>
      </c>
      <c r="S316" s="38">
        <v>9.0999999999999998E-2</v>
      </c>
      <c r="T316" s="38">
        <v>0.41499999999999998</v>
      </c>
    </row>
    <row r="317" spans="1:20" x14ac:dyDescent="0.15">
      <c r="A317" s="36" t="s">
        <v>520</v>
      </c>
      <c r="B317" s="37" t="s">
        <v>602</v>
      </c>
      <c r="C317" s="38">
        <v>261922</v>
      </c>
      <c r="D317" s="38" t="b">
        <v>0</v>
      </c>
      <c r="E317" s="38">
        <v>8</v>
      </c>
      <c r="F317" s="38" t="s">
        <v>594</v>
      </c>
      <c r="G317" s="38" t="s">
        <v>595</v>
      </c>
      <c r="H317" s="39">
        <v>44036</v>
      </c>
      <c r="I317" s="38">
        <v>16</v>
      </c>
      <c r="J317" s="38" t="s">
        <v>56</v>
      </c>
      <c r="K317" s="38" t="s">
        <v>57</v>
      </c>
      <c r="L317" s="38" t="s">
        <v>58</v>
      </c>
      <c r="M317" s="38">
        <v>0.53200000000000003</v>
      </c>
      <c r="N317" s="38">
        <v>0.623</v>
      </c>
      <c r="O317" s="38">
        <v>-9.2080000000000002</v>
      </c>
      <c r="P317" s="38">
        <v>3.3099999999999997E-2</v>
      </c>
      <c r="Q317" s="38">
        <v>0.53800000000000003</v>
      </c>
      <c r="R317" s="38">
        <v>7.2799999999999994E-5</v>
      </c>
      <c r="S317" s="38">
        <v>9.2499999999999999E-2</v>
      </c>
      <c r="T317" s="38">
        <v>0.40300000000000002</v>
      </c>
    </row>
    <row r="318" spans="1:20" x14ac:dyDescent="0.15">
      <c r="A318" s="36" t="s">
        <v>522</v>
      </c>
      <c r="B318" s="37" t="s">
        <v>603</v>
      </c>
      <c r="C318" s="38">
        <v>195097</v>
      </c>
      <c r="D318" s="38" t="b">
        <v>0</v>
      </c>
      <c r="E318" s="38">
        <v>9</v>
      </c>
      <c r="F318" s="38" t="s">
        <v>594</v>
      </c>
      <c r="G318" s="38" t="s">
        <v>595</v>
      </c>
      <c r="H318" s="39">
        <v>44036</v>
      </c>
      <c r="I318" s="38">
        <v>16</v>
      </c>
      <c r="J318" s="38" t="s">
        <v>56</v>
      </c>
      <c r="K318" s="38" t="s">
        <v>57</v>
      </c>
      <c r="L318" s="38" t="s">
        <v>58</v>
      </c>
      <c r="M318" s="38">
        <v>0.51500000000000001</v>
      </c>
      <c r="N318" s="38">
        <v>0.47599999999999998</v>
      </c>
      <c r="O318" s="38">
        <v>-9.843</v>
      </c>
      <c r="P318" s="38">
        <v>3.2800000000000003E-2</v>
      </c>
      <c r="Q318" s="38">
        <v>0.314</v>
      </c>
      <c r="R318" s="38">
        <v>4.74E-5</v>
      </c>
      <c r="S318" s="38">
        <v>0.17100000000000001</v>
      </c>
      <c r="T318" s="38">
        <v>0.41199999999999998</v>
      </c>
    </row>
    <row r="319" spans="1:20" x14ac:dyDescent="0.15">
      <c r="A319" s="36" t="s">
        <v>524</v>
      </c>
      <c r="B319" s="37" t="s">
        <v>604</v>
      </c>
      <c r="C319" s="38">
        <v>190898</v>
      </c>
      <c r="D319" s="38" t="b">
        <v>0</v>
      </c>
      <c r="E319" s="38">
        <v>10</v>
      </c>
      <c r="F319" s="38" t="s">
        <v>594</v>
      </c>
      <c r="G319" s="38" t="s">
        <v>595</v>
      </c>
      <c r="H319" s="39">
        <v>44036</v>
      </c>
      <c r="I319" s="38">
        <v>16</v>
      </c>
      <c r="J319" s="38" t="s">
        <v>56</v>
      </c>
      <c r="K319" s="38" t="s">
        <v>57</v>
      </c>
      <c r="L319" s="38" t="s">
        <v>58</v>
      </c>
      <c r="M319" s="38">
        <v>0.55900000000000005</v>
      </c>
      <c r="N319" s="38">
        <v>0.31</v>
      </c>
      <c r="O319" s="38">
        <v>-10.445</v>
      </c>
      <c r="P319" s="38">
        <v>3.3799999999999997E-2</v>
      </c>
      <c r="Q319" s="38">
        <v>0.88100000000000001</v>
      </c>
      <c r="R319" s="38">
        <v>0</v>
      </c>
      <c r="S319" s="38">
        <v>0.106</v>
      </c>
      <c r="T319" s="38">
        <v>0.46</v>
      </c>
    </row>
    <row r="320" spans="1:20" x14ac:dyDescent="0.15">
      <c r="A320" s="36" t="s">
        <v>526</v>
      </c>
      <c r="B320" s="37" t="s">
        <v>605</v>
      </c>
      <c r="C320" s="38">
        <v>252880</v>
      </c>
      <c r="D320" s="38" t="b">
        <v>0</v>
      </c>
      <c r="E320" s="38">
        <v>11</v>
      </c>
      <c r="F320" s="38" t="s">
        <v>594</v>
      </c>
      <c r="G320" s="38" t="s">
        <v>595</v>
      </c>
      <c r="H320" s="39">
        <v>44036</v>
      </c>
      <c r="I320" s="38">
        <v>16</v>
      </c>
      <c r="J320" s="38" t="s">
        <v>56</v>
      </c>
      <c r="K320" s="38" t="s">
        <v>57</v>
      </c>
      <c r="L320" s="38" t="s">
        <v>58</v>
      </c>
      <c r="M320" s="38">
        <v>0.65300000000000002</v>
      </c>
      <c r="N320" s="38">
        <v>0.45200000000000001</v>
      </c>
      <c r="O320" s="38">
        <v>-11.143000000000001</v>
      </c>
      <c r="P320" s="38">
        <v>5.5E-2</v>
      </c>
      <c r="Q320" s="38">
        <v>0.83799999999999997</v>
      </c>
      <c r="R320" s="38">
        <v>7.7299999999999995E-5</v>
      </c>
      <c r="S320" s="38">
        <v>0.108</v>
      </c>
      <c r="T320" s="38">
        <v>0.45</v>
      </c>
    </row>
    <row r="321" spans="1:20" x14ac:dyDescent="0.15">
      <c r="A321" s="36" t="s">
        <v>528</v>
      </c>
      <c r="B321" s="37" t="s">
        <v>606</v>
      </c>
      <c r="C321" s="38">
        <v>237258</v>
      </c>
      <c r="D321" s="38" t="b">
        <v>1</v>
      </c>
      <c r="E321" s="38">
        <v>12</v>
      </c>
      <c r="F321" s="38" t="s">
        <v>594</v>
      </c>
      <c r="G321" s="38" t="s">
        <v>595</v>
      </c>
      <c r="H321" s="39">
        <v>44036</v>
      </c>
      <c r="I321" s="38">
        <v>16</v>
      </c>
      <c r="J321" s="38" t="s">
        <v>56</v>
      </c>
      <c r="K321" s="38" t="s">
        <v>57</v>
      </c>
      <c r="L321" s="38" t="s">
        <v>58</v>
      </c>
      <c r="M321" s="38">
        <v>0.59199999999999997</v>
      </c>
      <c r="N321" s="38">
        <v>0.69899999999999995</v>
      </c>
      <c r="O321" s="38">
        <v>-8.9949999999999992</v>
      </c>
      <c r="P321" s="38">
        <v>4.7100000000000003E-2</v>
      </c>
      <c r="Q321" s="38">
        <v>0.65500000000000003</v>
      </c>
      <c r="R321" s="38">
        <v>1.6799999999999998E-5</v>
      </c>
      <c r="S321" s="38">
        <v>0.114</v>
      </c>
      <c r="T321" s="38">
        <v>0.50600000000000001</v>
      </c>
    </row>
    <row r="322" spans="1:20" x14ac:dyDescent="0.15">
      <c r="A322" s="36" t="s">
        <v>530</v>
      </c>
      <c r="B322" s="37" t="s">
        <v>607</v>
      </c>
      <c r="C322" s="38">
        <v>289749</v>
      </c>
      <c r="D322" s="38" t="b">
        <v>0</v>
      </c>
      <c r="E322" s="38">
        <v>13</v>
      </c>
      <c r="F322" s="38" t="s">
        <v>594</v>
      </c>
      <c r="G322" s="38" t="s">
        <v>595</v>
      </c>
      <c r="H322" s="39">
        <v>44036</v>
      </c>
      <c r="I322" s="38">
        <v>16</v>
      </c>
      <c r="J322" s="38" t="s">
        <v>56</v>
      </c>
      <c r="K322" s="38" t="s">
        <v>57</v>
      </c>
      <c r="L322" s="38" t="s">
        <v>58</v>
      </c>
      <c r="M322" s="38">
        <v>0.17499999999999999</v>
      </c>
      <c r="N322" s="38">
        <v>0.26700000000000002</v>
      </c>
      <c r="O322" s="38">
        <v>-13.69</v>
      </c>
      <c r="P322" s="38">
        <v>3.0200000000000001E-2</v>
      </c>
      <c r="Q322" s="38">
        <v>0.73099999999999998</v>
      </c>
      <c r="R322" s="38">
        <v>4.0200000000000001E-4</v>
      </c>
      <c r="S322" s="38">
        <v>8.5800000000000001E-2</v>
      </c>
      <c r="T322" s="38">
        <v>0.106</v>
      </c>
    </row>
    <row r="323" spans="1:20" x14ac:dyDescent="0.15">
      <c r="A323" s="36" t="s">
        <v>532</v>
      </c>
      <c r="B323" s="37" t="s">
        <v>608</v>
      </c>
      <c r="C323" s="38">
        <v>294521</v>
      </c>
      <c r="D323" s="38" t="b">
        <v>1</v>
      </c>
      <c r="E323" s="38">
        <v>14</v>
      </c>
      <c r="F323" s="38" t="s">
        <v>594</v>
      </c>
      <c r="G323" s="38" t="s">
        <v>595</v>
      </c>
      <c r="H323" s="39">
        <v>44036</v>
      </c>
      <c r="I323" s="38">
        <v>16</v>
      </c>
      <c r="J323" s="38" t="s">
        <v>56</v>
      </c>
      <c r="K323" s="38" t="s">
        <v>57</v>
      </c>
      <c r="L323" s="38" t="s">
        <v>58</v>
      </c>
      <c r="M323" s="38">
        <v>0.59299999999999997</v>
      </c>
      <c r="N323" s="38">
        <v>0.377</v>
      </c>
      <c r="O323" s="38">
        <v>-8.7609999999999992</v>
      </c>
      <c r="P323" s="38">
        <v>2.53E-2</v>
      </c>
      <c r="Q323" s="38">
        <v>0.6</v>
      </c>
      <c r="R323" s="38">
        <v>0</v>
      </c>
      <c r="S323" s="38">
        <v>9.7600000000000006E-2</v>
      </c>
      <c r="T323" s="38">
        <v>0.502</v>
      </c>
    </row>
    <row r="324" spans="1:20" x14ac:dyDescent="0.15">
      <c r="A324" s="36" t="s">
        <v>534</v>
      </c>
      <c r="B324" s="37" t="s">
        <v>609</v>
      </c>
      <c r="C324" s="38">
        <v>234000</v>
      </c>
      <c r="D324" s="38" t="b">
        <v>1</v>
      </c>
      <c r="E324" s="38">
        <v>15</v>
      </c>
      <c r="F324" s="38" t="s">
        <v>594</v>
      </c>
      <c r="G324" s="38" t="s">
        <v>595</v>
      </c>
      <c r="H324" s="39">
        <v>44036</v>
      </c>
      <c r="I324" s="38">
        <v>16</v>
      </c>
      <c r="J324" s="38" t="s">
        <v>56</v>
      </c>
      <c r="K324" s="38" t="s">
        <v>57</v>
      </c>
      <c r="L324" s="38" t="s">
        <v>58</v>
      </c>
      <c r="M324" s="38">
        <v>0.64700000000000002</v>
      </c>
      <c r="N324" s="38">
        <v>0.27200000000000002</v>
      </c>
      <c r="O324" s="38">
        <v>-12.906000000000001</v>
      </c>
      <c r="P324" s="38">
        <v>9.1600000000000001E-2</v>
      </c>
      <c r="Q324" s="38">
        <v>0.91800000000000004</v>
      </c>
      <c r="R324" s="38">
        <v>1.73E-5</v>
      </c>
      <c r="S324" s="38">
        <v>9.1800000000000007E-2</v>
      </c>
      <c r="T324" s="38">
        <v>0.33900000000000002</v>
      </c>
    </row>
    <row r="325" spans="1:20" x14ac:dyDescent="0.15">
      <c r="A325" s="36" t="s">
        <v>536</v>
      </c>
      <c r="B325" s="37" t="s">
        <v>610</v>
      </c>
      <c r="C325" s="38">
        <v>220042</v>
      </c>
      <c r="D325" s="38" t="b">
        <v>0</v>
      </c>
      <c r="E325" s="38">
        <v>16</v>
      </c>
      <c r="F325" s="38" t="s">
        <v>594</v>
      </c>
      <c r="G325" s="38" t="s">
        <v>595</v>
      </c>
      <c r="H325" s="39">
        <v>44036</v>
      </c>
      <c r="I325" s="38">
        <v>16</v>
      </c>
      <c r="J325" s="38" t="s">
        <v>56</v>
      </c>
      <c r="K325" s="38" t="s">
        <v>57</v>
      </c>
      <c r="L325" s="38" t="s">
        <v>58</v>
      </c>
      <c r="M325" s="38">
        <v>0.66200000000000003</v>
      </c>
      <c r="N325" s="38">
        <v>0.18099999999999999</v>
      </c>
      <c r="O325" s="38">
        <v>-15.065</v>
      </c>
      <c r="P325" s="38">
        <v>4.1500000000000002E-2</v>
      </c>
      <c r="Q325" s="38">
        <v>0.96599999999999997</v>
      </c>
      <c r="R325" s="38">
        <v>3.8600000000000003E-6</v>
      </c>
      <c r="S325" s="38">
        <v>0.13300000000000001</v>
      </c>
      <c r="T325" s="38">
        <v>0.42899999999999999</v>
      </c>
    </row>
    <row r="326" spans="1:20" x14ac:dyDescent="0.15">
      <c r="A326" s="36" t="s">
        <v>611</v>
      </c>
      <c r="B326" s="37" t="s">
        <v>612</v>
      </c>
      <c r="C326" s="38">
        <v>170640</v>
      </c>
      <c r="D326" s="38" t="b">
        <v>0</v>
      </c>
      <c r="E326" s="38">
        <v>1</v>
      </c>
      <c r="F326" s="38" t="s">
        <v>613</v>
      </c>
      <c r="G326" s="38" t="s">
        <v>614</v>
      </c>
      <c r="H326" s="39">
        <v>43700</v>
      </c>
      <c r="I326" s="38">
        <v>18</v>
      </c>
      <c r="J326" s="38" t="s">
        <v>56</v>
      </c>
      <c r="K326" s="38" t="s">
        <v>57</v>
      </c>
      <c r="L326" s="38" t="s">
        <v>58</v>
      </c>
      <c r="M326" s="38">
        <v>0.66400000000000003</v>
      </c>
      <c r="N326" s="38">
        <v>0.316</v>
      </c>
      <c r="O326" s="38">
        <v>-10.345000000000001</v>
      </c>
      <c r="P326" s="38">
        <v>0.51900000000000002</v>
      </c>
      <c r="Q326" s="38">
        <v>0.29799999999999999</v>
      </c>
      <c r="R326" s="38">
        <v>2.03E-6</v>
      </c>
      <c r="S326" s="38">
        <v>8.1199999999999994E-2</v>
      </c>
      <c r="T326" s="38">
        <v>0.54100000000000004</v>
      </c>
    </row>
    <row r="327" spans="1:20" x14ac:dyDescent="0.15">
      <c r="A327" s="36" t="s">
        <v>615</v>
      </c>
      <c r="B327" s="37" t="s">
        <v>616</v>
      </c>
      <c r="C327" s="38">
        <v>178426</v>
      </c>
      <c r="D327" s="38" t="b">
        <v>0</v>
      </c>
      <c r="E327" s="38">
        <v>2</v>
      </c>
      <c r="F327" s="38" t="s">
        <v>613</v>
      </c>
      <c r="G327" s="38" t="s">
        <v>614</v>
      </c>
      <c r="H327" s="39">
        <v>43700</v>
      </c>
      <c r="I327" s="38">
        <v>18</v>
      </c>
      <c r="J327" s="38" t="s">
        <v>56</v>
      </c>
      <c r="K327" s="38" t="s">
        <v>57</v>
      </c>
      <c r="L327" s="38" t="s">
        <v>58</v>
      </c>
      <c r="M327" s="38">
        <v>0.55200000000000005</v>
      </c>
      <c r="N327" s="38">
        <v>0.70199999999999996</v>
      </c>
      <c r="O327" s="38">
        <v>-5.7069999999999999</v>
      </c>
      <c r="P327" s="38">
        <v>0.157</v>
      </c>
      <c r="Q327" s="38">
        <v>0.11700000000000001</v>
      </c>
      <c r="R327" s="38">
        <v>2.0599999999999999E-5</v>
      </c>
      <c r="S327" s="38">
        <v>0.105</v>
      </c>
      <c r="T327" s="38">
        <v>0.56399999999999995</v>
      </c>
    </row>
    <row r="328" spans="1:20" x14ac:dyDescent="0.15">
      <c r="A328" s="36" t="s">
        <v>614</v>
      </c>
      <c r="B328" s="37" t="s">
        <v>617</v>
      </c>
      <c r="C328" s="38">
        <v>221306</v>
      </c>
      <c r="D328" s="38" t="b">
        <v>0</v>
      </c>
      <c r="E328" s="38">
        <v>3</v>
      </c>
      <c r="F328" s="38" t="s">
        <v>613</v>
      </c>
      <c r="G328" s="38" t="s">
        <v>614</v>
      </c>
      <c r="H328" s="39">
        <v>43700</v>
      </c>
      <c r="I328" s="38">
        <v>18</v>
      </c>
      <c r="J328" s="38" t="s">
        <v>56</v>
      </c>
      <c r="K328" s="38" t="s">
        <v>57</v>
      </c>
      <c r="L328" s="38" t="s">
        <v>58</v>
      </c>
      <c r="M328" s="38">
        <v>0.35899999999999999</v>
      </c>
      <c r="N328" s="38">
        <v>0.54300000000000004</v>
      </c>
      <c r="O328" s="38">
        <v>-7.5819999999999999</v>
      </c>
      <c r="P328" s="38">
        <v>9.1899999999999996E-2</v>
      </c>
      <c r="Q328" s="38">
        <v>0.49199999999999999</v>
      </c>
      <c r="R328" s="38">
        <v>1.5800000000000001E-5</v>
      </c>
      <c r="S328" s="38">
        <v>0.11799999999999999</v>
      </c>
      <c r="T328" s="38">
        <v>0.45300000000000001</v>
      </c>
    </row>
    <row r="329" spans="1:20" x14ac:dyDescent="0.15">
      <c r="A329" s="36" t="s">
        <v>618</v>
      </c>
      <c r="B329" s="37" t="s">
        <v>619</v>
      </c>
      <c r="C329" s="38">
        <v>190360</v>
      </c>
      <c r="D329" s="38" t="b">
        <v>0</v>
      </c>
      <c r="E329" s="38">
        <v>4</v>
      </c>
      <c r="F329" s="38" t="s">
        <v>613</v>
      </c>
      <c r="G329" s="38" t="s">
        <v>614</v>
      </c>
      <c r="H329" s="39">
        <v>43700</v>
      </c>
      <c r="I329" s="38">
        <v>18</v>
      </c>
      <c r="J329" s="38" t="s">
        <v>56</v>
      </c>
      <c r="K329" s="38" t="s">
        <v>57</v>
      </c>
      <c r="L329" s="38" t="s">
        <v>58</v>
      </c>
      <c r="M329" s="38">
        <v>0.77700000000000002</v>
      </c>
      <c r="N329" s="38">
        <v>0.65800000000000003</v>
      </c>
      <c r="O329" s="38">
        <v>-5.1909999999999998</v>
      </c>
      <c r="P329" s="38">
        <v>5.3999999999999999E-2</v>
      </c>
      <c r="Q329" s="38">
        <v>7.6700000000000004E-2</v>
      </c>
      <c r="R329" s="38">
        <v>0</v>
      </c>
      <c r="S329" s="38">
        <v>9.01E-2</v>
      </c>
      <c r="T329" s="38">
        <v>0.63300000000000001</v>
      </c>
    </row>
    <row r="330" spans="1:20" x14ac:dyDescent="0.15">
      <c r="A330" s="36" t="s">
        <v>620</v>
      </c>
      <c r="B330" s="37" t="s">
        <v>621</v>
      </c>
      <c r="C330" s="38">
        <v>211240</v>
      </c>
      <c r="D330" s="38" t="b">
        <v>0</v>
      </c>
      <c r="E330" s="38">
        <v>5</v>
      </c>
      <c r="F330" s="38" t="s">
        <v>613</v>
      </c>
      <c r="G330" s="38" t="s">
        <v>614</v>
      </c>
      <c r="H330" s="39">
        <v>43700</v>
      </c>
      <c r="I330" s="38">
        <v>18</v>
      </c>
      <c r="J330" s="38" t="s">
        <v>56</v>
      </c>
      <c r="K330" s="38" t="s">
        <v>57</v>
      </c>
      <c r="L330" s="38" t="s">
        <v>58</v>
      </c>
      <c r="M330" s="38">
        <v>0.29199999999999998</v>
      </c>
      <c r="N330" s="38">
        <v>0.57399999999999995</v>
      </c>
      <c r="O330" s="38">
        <v>-9.375</v>
      </c>
      <c r="P330" s="38">
        <v>4.0099999999999997E-2</v>
      </c>
      <c r="Q330" s="38">
        <v>0.12</v>
      </c>
      <c r="R330" s="38">
        <v>5.6899999999999997E-3</v>
      </c>
      <c r="S330" s="38">
        <v>6.6299999999999998E-2</v>
      </c>
      <c r="T330" s="38">
        <v>0.16600000000000001</v>
      </c>
    </row>
    <row r="331" spans="1:20" x14ac:dyDescent="0.15">
      <c r="A331" s="36" t="s">
        <v>622</v>
      </c>
      <c r="B331" s="37" t="s">
        <v>623</v>
      </c>
      <c r="C331" s="38">
        <v>173386</v>
      </c>
      <c r="D331" s="38" t="b">
        <v>0</v>
      </c>
      <c r="E331" s="38">
        <v>6</v>
      </c>
      <c r="F331" s="38" t="s">
        <v>613</v>
      </c>
      <c r="G331" s="38" t="s">
        <v>614</v>
      </c>
      <c r="H331" s="39">
        <v>43700</v>
      </c>
      <c r="I331" s="38">
        <v>18</v>
      </c>
      <c r="J331" s="38" t="s">
        <v>56</v>
      </c>
      <c r="K331" s="38" t="s">
        <v>57</v>
      </c>
      <c r="L331" s="38" t="s">
        <v>58</v>
      </c>
      <c r="M331" s="38">
        <v>0.89700000000000002</v>
      </c>
      <c r="N331" s="38">
        <v>0.36599999999999999</v>
      </c>
      <c r="O331" s="38">
        <v>-8.0289999999999999</v>
      </c>
      <c r="P331" s="38">
        <v>5.6899999999999999E-2</v>
      </c>
      <c r="Q331" s="38">
        <v>8.8900000000000003E-3</v>
      </c>
      <c r="R331" s="38">
        <v>3.5300000000000002E-4</v>
      </c>
      <c r="S331" s="38">
        <v>7.1499999999999994E-2</v>
      </c>
      <c r="T331" s="38">
        <v>0.41599999999999998</v>
      </c>
    </row>
    <row r="332" spans="1:20" x14ac:dyDescent="0.15">
      <c r="A332" s="36" t="s">
        <v>624</v>
      </c>
      <c r="B332" s="37" t="s">
        <v>625</v>
      </c>
      <c r="C332" s="38">
        <v>234146</v>
      </c>
      <c r="D332" s="38" t="b">
        <v>0</v>
      </c>
      <c r="E332" s="38">
        <v>7</v>
      </c>
      <c r="F332" s="38" t="s">
        <v>613</v>
      </c>
      <c r="G332" s="38" t="s">
        <v>614</v>
      </c>
      <c r="H332" s="39">
        <v>43700</v>
      </c>
      <c r="I332" s="38">
        <v>18</v>
      </c>
      <c r="J332" s="38" t="s">
        <v>56</v>
      </c>
      <c r="K332" s="38" t="s">
        <v>57</v>
      </c>
      <c r="L332" s="38" t="s">
        <v>58</v>
      </c>
      <c r="M332" s="38">
        <v>0.66200000000000003</v>
      </c>
      <c r="N332" s="38">
        <v>0.747</v>
      </c>
      <c r="O332" s="38">
        <v>-6.9260000000000002</v>
      </c>
      <c r="P332" s="38">
        <v>7.3599999999999999E-2</v>
      </c>
      <c r="Q332" s="38">
        <v>2.8000000000000001E-2</v>
      </c>
      <c r="R332" s="38">
        <v>6.1500000000000001E-3</v>
      </c>
      <c r="S332" s="38">
        <v>0.13800000000000001</v>
      </c>
      <c r="T332" s="38">
        <v>0.48699999999999999</v>
      </c>
    </row>
    <row r="333" spans="1:20" x14ac:dyDescent="0.15">
      <c r="A333" s="36" t="s">
        <v>626</v>
      </c>
      <c r="B333" s="37" t="s">
        <v>627</v>
      </c>
      <c r="C333" s="38">
        <v>222400</v>
      </c>
      <c r="D333" s="38" t="b">
        <v>0</v>
      </c>
      <c r="E333" s="38">
        <v>8</v>
      </c>
      <c r="F333" s="38" t="s">
        <v>613</v>
      </c>
      <c r="G333" s="38" t="s">
        <v>614</v>
      </c>
      <c r="H333" s="39">
        <v>43700</v>
      </c>
      <c r="I333" s="38">
        <v>18</v>
      </c>
      <c r="J333" s="38" t="s">
        <v>56</v>
      </c>
      <c r="K333" s="38" t="s">
        <v>57</v>
      </c>
      <c r="L333" s="38" t="s">
        <v>58</v>
      </c>
      <c r="M333" s="38">
        <v>0.81100000000000005</v>
      </c>
      <c r="N333" s="38">
        <v>0.71899999999999997</v>
      </c>
      <c r="O333" s="38">
        <v>-6.5529999999999999</v>
      </c>
      <c r="P333" s="38">
        <v>4.9700000000000001E-2</v>
      </c>
      <c r="Q333" s="38">
        <v>1.29E-2</v>
      </c>
      <c r="R333" s="38">
        <v>1.36E-5</v>
      </c>
      <c r="S333" s="38">
        <v>7.4200000000000002E-2</v>
      </c>
      <c r="T333" s="38">
        <v>0.86499999999999999</v>
      </c>
    </row>
    <row r="334" spans="1:20" x14ac:dyDescent="0.15">
      <c r="A334" s="36" t="s">
        <v>628</v>
      </c>
      <c r="B334" s="37" t="s">
        <v>629</v>
      </c>
      <c r="C334" s="38">
        <v>287266</v>
      </c>
      <c r="D334" s="38" t="b">
        <v>0</v>
      </c>
      <c r="E334" s="38">
        <v>9</v>
      </c>
      <c r="F334" s="38" t="s">
        <v>613</v>
      </c>
      <c r="G334" s="38" t="s">
        <v>614</v>
      </c>
      <c r="H334" s="39">
        <v>43700</v>
      </c>
      <c r="I334" s="38">
        <v>18</v>
      </c>
      <c r="J334" s="38" t="s">
        <v>56</v>
      </c>
      <c r="K334" s="38" t="s">
        <v>57</v>
      </c>
      <c r="L334" s="38" t="s">
        <v>58</v>
      </c>
      <c r="M334" s="38">
        <v>0.82399999999999995</v>
      </c>
      <c r="N334" s="38">
        <v>0.624</v>
      </c>
      <c r="O334" s="38">
        <v>-9.7279999999999998</v>
      </c>
      <c r="P334" s="38">
        <v>8.2699999999999996E-2</v>
      </c>
      <c r="Q334" s="38">
        <v>0.78100000000000003</v>
      </c>
      <c r="R334" s="38">
        <v>1.8900000000000001E-4</v>
      </c>
      <c r="S334" s="38">
        <v>0.1</v>
      </c>
      <c r="T334" s="38">
        <v>0.248</v>
      </c>
    </row>
    <row r="335" spans="1:20" x14ac:dyDescent="0.15">
      <c r="A335" s="36" t="s">
        <v>630</v>
      </c>
      <c r="B335" s="37" t="s">
        <v>631</v>
      </c>
      <c r="C335" s="38">
        <v>198533</v>
      </c>
      <c r="D335" s="38" t="b">
        <v>0</v>
      </c>
      <c r="E335" s="38">
        <v>10</v>
      </c>
      <c r="F335" s="38" t="s">
        <v>613</v>
      </c>
      <c r="G335" s="38" t="s">
        <v>614</v>
      </c>
      <c r="H335" s="39">
        <v>43700</v>
      </c>
      <c r="I335" s="38">
        <v>18</v>
      </c>
      <c r="J335" s="38" t="s">
        <v>56</v>
      </c>
      <c r="K335" s="38" t="s">
        <v>57</v>
      </c>
      <c r="L335" s="38" t="s">
        <v>58</v>
      </c>
      <c r="M335" s="38">
        <v>0.71199999999999997</v>
      </c>
      <c r="N335" s="38">
        <v>0.73199999999999998</v>
      </c>
      <c r="O335" s="38">
        <v>-6.7539999999999996</v>
      </c>
      <c r="P335" s="38">
        <v>6.2899999999999998E-2</v>
      </c>
      <c r="Q335" s="38">
        <v>0.45400000000000001</v>
      </c>
      <c r="R335" s="38">
        <v>0</v>
      </c>
      <c r="S335" s="38">
        <v>0.31900000000000001</v>
      </c>
      <c r="T335" s="38">
        <v>0.313</v>
      </c>
    </row>
    <row r="336" spans="1:20" x14ac:dyDescent="0.15">
      <c r="A336" s="36" t="s">
        <v>632</v>
      </c>
      <c r="B336" s="37" t="s">
        <v>633</v>
      </c>
      <c r="C336" s="38">
        <v>190240</v>
      </c>
      <c r="D336" s="38" t="b">
        <v>0</v>
      </c>
      <c r="E336" s="38">
        <v>11</v>
      </c>
      <c r="F336" s="38" t="s">
        <v>613</v>
      </c>
      <c r="G336" s="38" t="s">
        <v>614</v>
      </c>
      <c r="H336" s="39">
        <v>43700</v>
      </c>
      <c r="I336" s="38">
        <v>18</v>
      </c>
      <c r="J336" s="38" t="s">
        <v>56</v>
      </c>
      <c r="K336" s="38" t="s">
        <v>57</v>
      </c>
      <c r="L336" s="38" t="s">
        <v>58</v>
      </c>
      <c r="M336" s="38">
        <v>0.69499999999999995</v>
      </c>
      <c r="N336" s="38">
        <v>0.71</v>
      </c>
      <c r="O336" s="38">
        <v>-6.6390000000000002</v>
      </c>
      <c r="P336" s="38">
        <v>0.05</v>
      </c>
      <c r="Q336" s="38">
        <v>2.46E-2</v>
      </c>
      <c r="R336" s="38">
        <v>1.0399999999999999E-4</v>
      </c>
      <c r="S336" s="38">
        <v>0.13300000000000001</v>
      </c>
      <c r="T336" s="38">
        <v>0.55700000000000005</v>
      </c>
    </row>
    <row r="337" spans="1:20" x14ac:dyDescent="0.15">
      <c r="A337" s="36" t="s">
        <v>634</v>
      </c>
      <c r="B337" s="37" t="s">
        <v>635</v>
      </c>
      <c r="C337" s="38">
        <v>201586</v>
      </c>
      <c r="D337" s="38" t="b">
        <v>0</v>
      </c>
      <c r="E337" s="38">
        <v>12</v>
      </c>
      <c r="F337" s="38" t="s">
        <v>613</v>
      </c>
      <c r="G337" s="38" t="s">
        <v>614</v>
      </c>
      <c r="H337" s="39">
        <v>43700</v>
      </c>
      <c r="I337" s="38">
        <v>18</v>
      </c>
      <c r="J337" s="38" t="s">
        <v>56</v>
      </c>
      <c r="K337" s="38" t="s">
        <v>57</v>
      </c>
      <c r="L337" s="38" t="s">
        <v>58</v>
      </c>
      <c r="M337" s="38">
        <v>0.433</v>
      </c>
      <c r="N337" s="38">
        <v>0.182</v>
      </c>
      <c r="O337" s="38">
        <v>-12.566000000000001</v>
      </c>
      <c r="P337" s="38">
        <v>6.4100000000000004E-2</v>
      </c>
      <c r="Q337" s="38">
        <v>0.90700000000000003</v>
      </c>
      <c r="R337" s="38">
        <v>0</v>
      </c>
      <c r="S337" s="38">
        <v>0.123</v>
      </c>
      <c r="T337" s="38">
        <v>0.42099999999999999</v>
      </c>
    </row>
    <row r="338" spans="1:20" x14ac:dyDescent="0.15">
      <c r="A338" s="36" t="s">
        <v>636</v>
      </c>
      <c r="B338" s="37" t="s">
        <v>637</v>
      </c>
      <c r="C338" s="38">
        <v>200306</v>
      </c>
      <c r="D338" s="38" t="b">
        <v>0</v>
      </c>
      <c r="E338" s="38">
        <v>13</v>
      </c>
      <c r="F338" s="38" t="s">
        <v>613</v>
      </c>
      <c r="G338" s="38" t="s">
        <v>614</v>
      </c>
      <c r="H338" s="39">
        <v>43700</v>
      </c>
      <c r="I338" s="38">
        <v>18</v>
      </c>
      <c r="J338" s="38" t="s">
        <v>56</v>
      </c>
      <c r="K338" s="38" t="s">
        <v>57</v>
      </c>
      <c r="L338" s="38" t="s">
        <v>58</v>
      </c>
      <c r="M338" s="38">
        <v>0.73899999999999999</v>
      </c>
      <c r="N338" s="38">
        <v>0.32</v>
      </c>
      <c r="O338" s="38">
        <v>-10.862</v>
      </c>
      <c r="P338" s="38">
        <v>0.23899999999999999</v>
      </c>
      <c r="Q338" s="38">
        <v>0.73599999999999999</v>
      </c>
      <c r="R338" s="38">
        <v>1.47E-4</v>
      </c>
      <c r="S338" s="38">
        <v>0.111</v>
      </c>
      <c r="T338" s="38">
        <v>0.35099999999999998</v>
      </c>
    </row>
    <row r="339" spans="1:20" x14ac:dyDescent="0.15">
      <c r="A339" s="36" t="s">
        <v>638</v>
      </c>
      <c r="B339" s="37" t="s">
        <v>639</v>
      </c>
      <c r="C339" s="38">
        <v>171360</v>
      </c>
      <c r="D339" s="38" t="b">
        <v>0</v>
      </c>
      <c r="E339" s="38">
        <v>14</v>
      </c>
      <c r="F339" s="38" t="s">
        <v>613</v>
      </c>
      <c r="G339" s="38" t="s">
        <v>614</v>
      </c>
      <c r="H339" s="39">
        <v>43700</v>
      </c>
      <c r="I339" s="38">
        <v>18</v>
      </c>
      <c r="J339" s="38" t="s">
        <v>56</v>
      </c>
      <c r="K339" s="38" t="s">
        <v>57</v>
      </c>
      <c r="L339" s="38" t="s">
        <v>58</v>
      </c>
      <c r="M339" s="38">
        <v>0.77100000000000002</v>
      </c>
      <c r="N339" s="38">
        <v>0.67100000000000004</v>
      </c>
      <c r="O339" s="38">
        <v>-5.617</v>
      </c>
      <c r="P339" s="38">
        <v>5.5300000000000002E-2</v>
      </c>
      <c r="Q339" s="38">
        <v>9.2899999999999996E-3</v>
      </c>
      <c r="R339" s="38">
        <v>0</v>
      </c>
      <c r="S339" s="38">
        <v>6.3700000000000007E-2</v>
      </c>
      <c r="T339" s="38">
        <v>0.71399999999999997</v>
      </c>
    </row>
    <row r="340" spans="1:20" x14ac:dyDescent="0.15">
      <c r="A340" s="36" t="s">
        <v>640</v>
      </c>
      <c r="B340" s="37" t="s">
        <v>641</v>
      </c>
      <c r="C340" s="38">
        <v>223293</v>
      </c>
      <c r="D340" s="38" t="b">
        <v>0</v>
      </c>
      <c r="E340" s="38">
        <v>15</v>
      </c>
      <c r="F340" s="38" t="s">
        <v>613</v>
      </c>
      <c r="G340" s="38" t="s">
        <v>614</v>
      </c>
      <c r="H340" s="39">
        <v>43700</v>
      </c>
      <c r="I340" s="38">
        <v>18</v>
      </c>
      <c r="J340" s="38" t="s">
        <v>56</v>
      </c>
      <c r="K340" s="38" t="s">
        <v>57</v>
      </c>
      <c r="L340" s="38" t="s">
        <v>58</v>
      </c>
      <c r="M340" s="38">
        <v>0.75600000000000001</v>
      </c>
      <c r="N340" s="38">
        <v>0.44900000000000001</v>
      </c>
      <c r="O340" s="38">
        <v>-8.7460000000000004</v>
      </c>
      <c r="P340" s="38">
        <v>3.44E-2</v>
      </c>
      <c r="Q340" s="38">
        <v>0.13</v>
      </c>
      <c r="R340" s="38">
        <v>0</v>
      </c>
      <c r="S340" s="38">
        <v>0.114</v>
      </c>
      <c r="T340" s="38">
        <v>0.39900000000000002</v>
      </c>
    </row>
    <row r="341" spans="1:20" x14ac:dyDescent="0.15">
      <c r="A341" s="36" t="s">
        <v>642</v>
      </c>
      <c r="B341" s="37" t="s">
        <v>643</v>
      </c>
      <c r="C341" s="38">
        <v>193000</v>
      </c>
      <c r="D341" s="38" t="b">
        <v>0</v>
      </c>
      <c r="E341" s="38">
        <v>16</v>
      </c>
      <c r="F341" s="38" t="s">
        <v>613</v>
      </c>
      <c r="G341" s="38" t="s">
        <v>614</v>
      </c>
      <c r="H341" s="39">
        <v>43700</v>
      </c>
      <c r="I341" s="38">
        <v>18</v>
      </c>
      <c r="J341" s="38" t="s">
        <v>56</v>
      </c>
      <c r="K341" s="38" t="s">
        <v>57</v>
      </c>
      <c r="L341" s="38" t="s">
        <v>58</v>
      </c>
      <c r="M341" s="38">
        <v>0.61</v>
      </c>
      <c r="N341" s="38">
        <v>0.83</v>
      </c>
      <c r="O341" s="38">
        <v>-4.1050000000000004</v>
      </c>
      <c r="P341" s="38">
        <v>5.7099999999999998E-2</v>
      </c>
      <c r="Q341" s="38">
        <v>3.3000000000000002E-2</v>
      </c>
      <c r="R341" s="38">
        <v>0</v>
      </c>
      <c r="S341" s="38">
        <v>0.11799999999999999</v>
      </c>
      <c r="T341" s="38">
        <v>0.72799999999999998</v>
      </c>
    </row>
    <row r="342" spans="1:20" x14ac:dyDescent="0.15">
      <c r="A342" s="36" t="s">
        <v>644</v>
      </c>
      <c r="B342" s="37" t="s">
        <v>645</v>
      </c>
      <c r="C342" s="38">
        <v>150440</v>
      </c>
      <c r="D342" s="38" t="b">
        <v>0</v>
      </c>
      <c r="E342" s="38">
        <v>17</v>
      </c>
      <c r="F342" s="38" t="s">
        <v>613</v>
      </c>
      <c r="G342" s="38" t="s">
        <v>614</v>
      </c>
      <c r="H342" s="39">
        <v>43700</v>
      </c>
      <c r="I342" s="38">
        <v>18</v>
      </c>
      <c r="J342" s="38" t="s">
        <v>56</v>
      </c>
      <c r="K342" s="38" t="s">
        <v>57</v>
      </c>
      <c r="L342" s="38" t="s">
        <v>58</v>
      </c>
      <c r="M342" s="38">
        <v>0.73699999999999999</v>
      </c>
      <c r="N342" s="38">
        <v>0.17499999999999999</v>
      </c>
      <c r="O342" s="38">
        <v>-9.9120000000000008</v>
      </c>
      <c r="P342" s="38">
        <v>4.0099999999999997E-2</v>
      </c>
      <c r="Q342" s="38">
        <v>0.97099999999999997</v>
      </c>
      <c r="R342" s="38">
        <v>3.3700000000000001E-4</v>
      </c>
      <c r="S342" s="38">
        <v>0.17100000000000001</v>
      </c>
      <c r="T342" s="38">
        <v>0.54500000000000004</v>
      </c>
    </row>
    <row r="343" spans="1:20" x14ac:dyDescent="0.15">
      <c r="A343" s="36" t="s">
        <v>646</v>
      </c>
      <c r="B343" s="37" t="s">
        <v>647</v>
      </c>
      <c r="C343" s="38">
        <v>293453</v>
      </c>
      <c r="D343" s="38" t="b">
        <v>0</v>
      </c>
      <c r="E343" s="38">
        <v>18</v>
      </c>
      <c r="F343" s="38" t="s">
        <v>613</v>
      </c>
      <c r="G343" s="38" t="s">
        <v>614</v>
      </c>
      <c r="H343" s="39">
        <v>43700</v>
      </c>
      <c r="I343" s="38">
        <v>18</v>
      </c>
      <c r="J343" s="38" t="s">
        <v>56</v>
      </c>
      <c r="K343" s="38" t="s">
        <v>57</v>
      </c>
      <c r="L343" s="38" t="s">
        <v>58</v>
      </c>
      <c r="M343" s="38">
        <v>0.55700000000000005</v>
      </c>
      <c r="N343" s="38">
        <v>0.496</v>
      </c>
      <c r="O343" s="38">
        <v>-9.6020000000000003</v>
      </c>
      <c r="P343" s="38">
        <v>5.6300000000000003E-2</v>
      </c>
      <c r="Q343" s="38">
        <v>0.80800000000000005</v>
      </c>
      <c r="R343" s="38">
        <v>1.73E-4</v>
      </c>
      <c r="S343" s="38">
        <v>7.7200000000000005E-2</v>
      </c>
      <c r="T343" s="38">
        <v>0.26500000000000001</v>
      </c>
    </row>
    <row r="344" spans="1:20" x14ac:dyDescent="0.15">
      <c r="A344" s="36" t="s">
        <v>648</v>
      </c>
      <c r="B344" s="37" t="s">
        <v>649</v>
      </c>
      <c r="C344" s="38">
        <v>208186</v>
      </c>
      <c r="D344" s="38" t="b">
        <v>0</v>
      </c>
      <c r="E344" s="38">
        <v>1</v>
      </c>
      <c r="F344" s="38" t="s">
        <v>650</v>
      </c>
      <c r="G344" s="38" t="s">
        <v>651</v>
      </c>
      <c r="H344" s="39">
        <v>43049</v>
      </c>
      <c r="I344" s="38">
        <v>15</v>
      </c>
      <c r="J344" s="38" t="s">
        <v>56</v>
      </c>
      <c r="K344" s="38" t="s">
        <v>57</v>
      </c>
      <c r="L344" s="38" t="s">
        <v>58</v>
      </c>
      <c r="M344" s="38">
        <v>0.61299999999999999</v>
      </c>
      <c r="N344" s="38">
        <v>0.76400000000000001</v>
      </c>
      <c r="O344" s="38">
        <v>-6.5090000000000003</v>
      </c>
      <c r="P344" s="38">
        <v>0.13600000000000001</v>
      </c>
      <c r="Q344" s="38">
        <v>5.2699999999999997E-2</v>
      </c>
      <c r="R344" s="38">
        <v>0</v>
      </c>
      <c r="S344" s="38">
        <v>0.19700000000000001</v>
      </c>
      <c r="T344" s="38">
        <v>0.41699999999999998</v>
      </c>
    </row>
    <row r="345" spans="1:20" x14ac:dyDescent="0.15">
      <c r="A345" s="36" t="s">
        <v>652</v>
      </c>
      <c r="B345" s="37" t="s">
        <v>653</v>
      </c>
      <c r="C345" s="38">
        <v>244826</v>
      </c>
      <c r="D345" s="38" t="b">
        <v>0</v>
      </c>
      <c r="E345" s="38">
        <v>2</v>
      </c>
      <c r="F345" s="38" t="s">
        <v>650</v>
      </c>
      <c r="G345" s="38" t="s">
        <v>651</v>
      </c>
      <c r="H345" s="39">
        <v>43049</v>
      </c>
      <c r="I345" s="38">
        <v>15</v>
      </c>
      <c r="J345" s="38" t="s">
        <v>56</v>
      </c>
      <c r="K345" s="38" t="s">
        <v>57</v>
      </c>
      <c r="L345" s="38" t="s">
        <v>58</v>
      </c>
      <c r="M345" s="38">
        <v>0.64900000000000002</v>
      </c>
      <c r="N345" s="38">
        <v>0.58899999999999997</v>
      </c>
      <c r="O345" s="38">
        <v>-6.2370000000000001</v>
      </c>
      <c r="P345" s="38">
        <v>5.5800000000000002E-2</v>
      </c>
      <c r="Q345" s="38">
        <v>8.4499999999999992E-3</v>
      </c>
      <c r="R345" s="38">
        <v>0</v>
      </c>
      <c r="S345" s="38">
        <v>0.108</v>
      </c>
      <c r="T345" s="38">
        <v>0.151</v>
      </c>
    </row>
    <row r="346" spans="1:20" x14ac:dyDescent="0.15">
      <c r="A346" s="36" t="s">
        <v>654</v>
      </c>
      <c r="B346" s="37" t="s">
        <v>655</v>
      </c>
      <c r="C346" s="38">
        <v>238253</v>
      </c>
      <c r="D346" s="38" t="b">
        <v>0</v>
      </c>
      <c r="E346" s="38">
        <v>3</v>
      </c>
      <c r="F346" s="38" t="s">
        <v>650</v>
      </c>
      <c r="G346" s="38" t="s">
        <v>651</v>
      </c>
      <c r="H346" s="39">
        <v>43049</v>
      </c>
      <c r="I346" s="38">
        <v>15</v>
      </c>
      <c r="J346" s="38" t="s">
        <v>56</v>
      </c>
      <c r="K346" s="38" t="s">
        <v>57</v>
      </c>
      <c r="L346" s="38" t="s">
        <v>58</v>
      </c>
      <c r="M346" s="38">
        <v>0.69599999999999995</v>
      </c>
      <c r="N346" s="38">
        <v>0.60199999999999998</v>
      </c>
      <c r="O346" s="38">
        <v>-6.1559999999999997</v>
      </c>
      <c r="P346" s="38">
        <v>0.159</v>
      </c>
      <c r="Q346" s="38">
        <v>6.7900000000000002E-2</v>
      </c>
      <c r="R346" s="38">
        <v>2.1100000000000001E-5</v>
      </c>
      <c r="S346" s="38">
        <v>6.9599999999999995E-2</v>
      </c>
      <c r="T346" s="38">
        <v>0.30499999999999999</v>
      </c>
    </row>
    <row r="347" spans="1:20" x14ac:dyDescent="0.15">
      <c r="A347" s="36" t="s">
        <v>656</v>
      </c>
      <c r="B347" s="37" t="s">
        <v>657</v>
      </c>
      <c r="C347" s="38">
        <v>236413</v>
      </c>
      <c r="D347" s="38" t="b">
        <v>0</v>
      </c>
      <c r="E347" s="38">
        <v>4</v>
      </c>
      <c r="F347" s="38" t="s">
        <v>650</v>
      </c>
      <c r="G347" s="38" t="s">
        <v>651</v>
      </c>
      <c r="H347" s="39">
        <v>43049</v>
      </c>
      <c r="I347" s="38">
        <v>15</v>
      </c>
      <c r="J347" s="38" t="s">
        <v>56</v>
      </c>
      <c r="K347" s="38" t="s">
        <v>57</v>
      </c>
      <c r="L347" s="38" t="s">
        <v>58</v>
      </c>
      <c r="M347" s="38">
        <v>0.61499999999999999</v>
      </c>
      <c r="N347" s="38">
        <v>0.53400000000000003</v>
      </c>
      <c r="O347" s="38">
        <v>-6.7190000000000003</v>
      </c>
      <c r="P347" s="38">
        <v>3.8600000000000002E-2</v>
      </c>
      <c r="Q347" s="38">
        <v>0.106</v>
      </c>
      <c r="R347" s="38">
        <v>1.7600000000000001E-5</v>
      </c>
      <c r="S347" s="38">
        <v>6.0699999999999997E-2</v>
      </c>
      <c r="T347" s="38">
        <v>0.193</v>
      </c>
    </row>
    <row r="348" spans="1:20" x14ac:dyDescent="0.15">
      <c r="A348" s="36" t="s">
        <v>658</v>
      </c>
      <c r="B348" s="37" t="s">
        <v>659</v>
      </c>
      <c r="C348" s="38">
        <v>232253</v>
      </c>
      <c r="D348" s="38" t="b">
        <v>0</v>
      </c>
      <c r="E348" s="38">
        <v>5</v>
      </c>
      <c r="F348" s="38" t="s">
        <v>650</v>
      </c>
      <c r="G348" s="38" t="s">
        <v>651</v>
      </c>
      <c r="H348" s="39">
        <v>43049</v>
      </c>
      <c r="I348" s="38">
        <v>15</v>
      </c>
      <c r="J348" s="38" t="s">
        <v>56</v>
      </c>
      <c r="K348" s="38" t="s">
        <v>57</v>
      </c>
      <c r="L348" s="38" t="s">
        <v>58</v>
      </c>
      <c r="M348" s="38">
        <v>0.75</v>
      </c>
      <c r="N348" s="38">
        <v>0.40400000000000003</v>
      </c>
      <c r="O348" s="38">
        <v>-10.178000000000001</v>
      </c>
      <c r="P348" s="38">
        <v>6.8199999999999997E-2</v>
      </c>
      <c r="Q348" s="38">
        <v>0.216</v>
      </c>
      <c r="R348" s="38">
        <v>3.57E-4</v>
      </c>
      <c r="S348" s="38">
        <v>9.11E-2</v>
      </c>
      <c r="T348" s="38">
        <v>4.99E-2</v>
      </c>
    </row>
    <row r="349" spans="1:20" x14ac:dyDescent="0.15">
      <c r="A349" s="36" t="s">
        <v>660</v>
      </c>
      <c r="B349" s="37" t="s">
        <v>661</v>
      </c>
      <c r="C349" s="38">
        <v>211853</v>
      </c>
      <c r="D349" s="38" t="b">
        <v>0</v>
      </c>
      <c r="E349" s="38">
        <v>6</v>
      </c>
      <c r="F349" s="38" t="s">
        <v>650</v>
      </c>
      <c r="G349" s="38" t="s">
        <v>651</v>
      </c>
      <c r="H349" s="39">
        <v>43049</v>
      </c>
      <c r="I349" s="38">
        <v>15</v>
      </c>
      <c r="J349" s="38" t="s">
        <v>56</v>
      </c>
      <c r="K349" s="38" t="s">
        <v>57</v>
      </c>
      <c r="L349" s="38" t="s">
        <v>58</v>
      </c>
      <c r="M349" s="38">
        <v>0.76600000000000001</v>
      </c>
      <c r="N349" s="38">
        <v>0.70899999999999996</v>
      </c>
      <c r="O349" s="38">
        <v>-6.4710000000000001</v>
      </c>
      <c r="P349" s="38">
        <v>0.123</v>
      </c>
      <c r="Q349" s="38">
        <v>0.20399999999999999</v>
      </c>
      <c r="R349" s="38">
        <v>1.4100000000000001E-5</v>
      </c>
      <c r="S349" s="38">
        <v>0.126</v>
      </c>
      <c r="T349" s="38">
        <v>0.50600000000000001</v>
      </c>
    </row>
    <row r="350" spans="1:20" x14ac:dyDescent="0.15">
      <c r="A350" s="36" t="s">
        <v>662</v>
      </c>
      <c r="B350" s="37" t="s">
        <v>663</v>
      </c>
      <c r="C350" s="38">
        <v>227906</v>
      </c>
      <c r="D350" s="38" t="b">
        <v>0</v>
      </c>
      <c r="E350" s="38">
        <v>7</v>
      </c>
      <c r="F350" s="38" t="s">
        <v>650</v>
      </c>
      <c r="G350" s="38" t="s">
        <v>651</v>
      </c>
      <c r="H350" s="39">
        <v>43049</v>
      </c>
      <c r="I350" s="38">
        <v>15</v>
      </c>
      <c r="J350" s="38" t="s">
        <v>56</v>
      </c>
      <c r="K350" s="38" t="s">
        <v>57</v>
      </c>
      <c r="L350" s="38" t="s">
        <v>58</v>
      </c>
      <c r="M350" s="38">
        <v>0.57399999999999995</v>
      </c>
      <c r="N350" s="38">
        <v>0.61</v>
      </c>
      <c r="O350" s="38">
        <v>-7.2830000000000004</v>
      </c>
      <c r="P350" s="38">
        <v>7.3200000000000001E-2</v>
      </c>
      <c r="Q350" s="38">
        <v>0.122</v>
      </c>
      <c r="R350" s="38">
        <v>1.1000000000000001E-6</v>
      </c>
      <c r="S350" s="38">
        <v>0.13</v>
      </c>
      <c r="T350" s="38">
        <v>0.374</v>
      </c>
    </row>
    <row r="351" spans="1:20" x14ac:dyDescent="0.15">
      <c r="A351" s="36" t="s">
        <v>664</v>
      </c>
      <c r="B351" s="37" t="s">
        <v>665</v>
      </c>
      <c r="C351" s="38">
        <v>209680</v>
      </c>
      <c r="D351" s="38" t="b">
        <v>0</v>
      </c>
      <c r="E351" s="38">
        <v>8</v>
      </c>
      <c r="F351" s="38" t="s">
        <v>650</v>
      </c>
      <c r="G351" s="38" t="s">
        <v>651</v>
      </c>
      <c r="H351" s="39">
        <v>43049</v>
      </c>
      <c r="I351" s="38">
        <v>15</v>
      </c>
      <c r="J351" s="38" t="s">
        <v>56</v>
      </c>
      <c r="K351" s="38" t="s">
        <v>57</v>
      </c>
      <c r="L351" s="38" t="s">
        <v>58</v>
      </c>
      <c r="M351" s="38">
        <v>0.8</v>
      </c>
      <c r="N351" s="38">
        <v>0.53500000000000003</v>
      </c>
      <c r="O351" s="38">
        <v>-6.6840000000000002</v>
      </c>
      <c r="P351" s="38">
        <v>0.13500000000000001</v>
      </c>
      <c r="Q351" s="38">
        <v>7.1300000000000002E-2</v>
      </c>
      <c r="R351" s="38">
        <v>9.4800000000000007E-6</v>
      </c>
      <c r="S351" s="38">
        <v>0.21299999999999999</v>
      </c>
      <c r="T351" s="38">
        <v>0.45100000000000001</v>
      </c>
    </row>
    <row r="352" spans="1:20" x14ac:dyDescent="0.15">
      <c r="A352" s="36" t="s">
        <v>666</v>
      </c>
      <c r="B352" s="37" t="s">
        <v>667</v>
      </c>
      <c r="C352" s="38">
        <v>233626</v>
      </c>
      <c r="D352" s="38" t="b">
        <v>0</v>
      </c>
      <c r="E352" s="38">
        <v>9</v>
      </c>
      <c r="F352" s="38" t="s">
        <v>650</v>
      </c>
      <c r="G352" s="38" t="s">
        <v>651</v>
      </c>
      <c r="H352" s="39">
        <v>43049</v>
      </c>
      <c r="I352" s="38">
        <v>15</v>
      </c>
      <c r="J352" s="38" t="s">
        <v>56</v>
      </c>
      <c r="K352" s="38" t="s">
        <v>57</v>
      </c>
      <c r="L352" s="38" t="s">
        <v>58</v>
      </c>
      <c r="M352" s="38">
        <v>0.56200000000000006</v>
      </c>
      <c r="N352" s="38">
        <v>0.68899999999999995</v>
      </c>
      <c r="O352" s="38">
        <v>-6.7450000000000001</v>
      </c>
      <c r="P352" s="38">
        <v>0.127</v>
      </c>
      <c r="Q352" s="38">
        <v>4.6499999999999996E-3</v>
      </c>
      <c r="R352" s="38">
        <v>2.2299999999999998E-6</v>
      </c>
      <c r="S352" s="38">
        <v>8.8800000000000004E-2</v>
      </c>
      <c r="T352" s="38">
        <v>0.35099999999999998</v>
      </c>
    </row>
    <row r="353" spans="1:20" x14ac:dyDescent="0.15">
      <c r="A353" s="36" t="s">
        <v>668</v>
      </c>
      <c r="B353" s="37" t="s">
        <v>669</v>
      </c>
      <c r="C353" s="38">
        <v>214320</v>
      </c>
      <c r="D353" s="38" t="b">
        <v>0</v>
      </c>
      <c r="E353" s="38">
        <v>10</v>
      </c>
      <c r="F353" s="38" t="s">
        <v>650</v>
      </c>
      <c r="G353" s="38" t="s">
        <v>651</v>
      </c>
      <c r="H353" s="39">
        <v>43049</v>
      </c>
      <c r="I353" s="38">
        <v>15</v>
      </c>
      <c r="J353" s="38" t="s">
        <v>56</v>
      </c>
      <c r="K353" s="38" t="s">
        <v>57</v>
      </c>
      <c r="L353" s="38" t="s">
        <v>58</v>
      </c>
      <c r="M353" s="38">
        <v>0.67500000000000004</v>
      </c>
      <c r="N353" s="38">
        <v>0.70299999999999996</v>
      </c>
      <c r="O353" s="38">
        <v>-7.9020000000000001</v>
      </c>
      <c r="P353" s="38">
        <v>3.8199999999999998E-2</v>
      </c>
      <c r="Q353" s="38">
        <v>8.8199999999999997E-3</v>
      </c>
      <c r="R353" s="38">
        <v>2.21E-6</v>
      </c>
      <c r="S353" s="38">
        <v>3.9100000000000003E-2</v>
      </c>
      <c r="T353" s="38">
        <v>0.314</v>
      </c>
    </row>
    <row r="354" spans="1:20" x14ac:dyDescent="0.15">
      <c r="A354" s="36" t="s">
        <v>670</v>
      </c>
      <c r="B354" s="37" t="s">
        <v>671</v>
      </c>
      <c r="C354" s="38">
        <v>211506</v>
      </c>
      <c r="D354" s="38" t="b">
        <v>0</v>
      </c>
      <c r="E354" s="38">
        <v>11</v>
      </c>
      <c r="F354" s="38" t="s">
        <v>650</v>
      </c>
      <c r="G354" s="38" t="s">
        <v>651</v>
      </c>
      <c r="H354" s="39">
        <v>43049</v>
      </c>
      <c r="I354" s="38">
        <v>15</v>
      </c>
      <c r="J354" s="38" t="s">
        <v>56</v>
      </c>
      <c r="K354" s="38" t="s">
        <v>57</v>
      </c>
      <c r="L354" s="38" t="s">
        <v>58</v>
      </c>
      <c r="M354" s="38">
        <v>0.624</v>
      </c>
      <c r="N354" s="38">
        <v>0.69099999999999995</v>
      </c>
      <c r="O354" s="38">
        <v>-6.6859999999999999</v>
      </c>
      <c r="P354" s="38">
        <v>0.19600000000000001</v>
      </c>
      <c r="Q354" s="38">
        <v>6.0400000000000002E-2</v>
      </c>
      <c r="R354" s="38">
        <v>1.1E-5</v>
      </c>
      <c r="S354" s="38">
        <v>0.13800000000000001</v>
      </c>
      <c r="T354" s="38">
        <v>0.28399999999999997</v>
      </c>
    </row>
    <row r="355" spans="1:20" x14ac:dyDescent="0.15">
      <c r="A355" s="36" t="s">
        <v>672</v>
      </c>
      <c r="B355" s="37" t="s">
        <v>673</v>
      </c>
      <c r="C355" s="38">
        <v>230373</v>
      </c>
      <c r="D355" s="38" t="b">
        <v>0</v>
      </c>
      <c r="E355" s="38">
        <v>12</v>
      </c>
      <c r="F355" s="38" t="s">
        <v>650</v>
      </c>
      <c r="G355" s="38" t="s">
        <v>651</v>
      </c>
      <c r="H355" s="39">
        <v>43049</v>
      </c>
      <c r="I355" s="38">
        <v>15</v>
      </c>
      <c r="J355" s="38" t="s">
        <v>56</v>
      </c>
      <c r="K355" s="38" t="s">
        <v>57</v>
      </c>
      <c r="L355" s="38" t="s">
        <v>58</v>
      </c>
      <c r="M355" s="38">
        <v>0.71899999999999997</v>
      </c>
      <c r="N355" s="38">
        <v>0.46899999999999997</v>
      </c>
      <c r="O355" s="38">
        <v>-8.7919999999999998</v>
      </c>
      <c r="P355" s="38">
        <v>5.33E-2</v>
      </c>
      <c r="Q355" s="38">
        <v>3.2899999999999999E-2</v>
      </c>
      <c r="R355" s="38">
        <v>0</v>
      </c>
      <c r="S355" s="38">
        <v>0.16900000000000001</v>
      </c>
      <c r="T355" s="38">
        <v>8.5099999999999995E-2</v>
      </c>
    </row>
    <row r="356" spans="1:20" x14ac:dyDescent="0.15">
      <c r="A356" s="36" t="s">
        <v>674</v>
      </c>
      <c r="B356" s="37" t="s">
        <v>675</v>
      </c>
      <c r="C356" s="38">
        <v>207133</v>
      </c>
      <c r="D356" s="38" t="b">
        <v>0</v>
      </c>
      <c r="E356" s="38">
        <v>13</v>
      </c>
      <c r="F356" s="38" t="s">
        <v>650</v>
      </c>
      <c r="G356" s="38" t="s">
        <v>651</v>
      </c>
      <c r="H356" s="39">
        <v>43049</v>
      </c>
      <c r="I356" s="38">
        <v>15</v>
      </c>
      <c r="J356" s="38" t="s">
        <v>56</v>
      </c>
      <c r="K356" s="38" t="s">
        <v>57</v>
      </c>
      <c r="L356" s="38" t="s">
        <v>58</v>
      </c>
      <c r="M356" s="38">
        <v>0.56699999999999995</v>
      </c>
      <c r="N356" s="38">
        <v>0.78900000000000003</v>
      </c>
      <c r="O356" s="38">
        <v>-5.9859999999999998</v>
      </c>
      <c r="P356" s="38">
        <v>0.115</v>
      </c>
      <c r="Q356" s="38">
        <v>1.5599999999999999E-2</v>
      </c>
      <c r="R356" s="38">
        <v>0</v>
      </c>
      <c r="S356" s="38">
        <v>0.38200000000000001</v>
      </c>
      <c r="T356" s="38">
        <v>0.438</v>
      </c>
    </row>
    <row r="357" spans="1:20" x14ac:dyDescent="0.15">
      <c r="A357" s="36" t="s">
        <v>676</v>
      </c>
      <c r="B357" s="37" t="s">
        <v>677</v>
      </c>
      <c r="C357" s="38">
        <v>203506</v>
      </c>
      <c r="D357" s="38" t="b">
        <v>0</v>
      </c>
      <c r="E357" s="38">
        <v>14</v>
      </c>
      <c r="F357" s="38" t="s">
        <v>650</v>
      </c>
      <c r="G357" s="38" t="s">
        <v>651</v>
      </c>
      <c r="H357" s="39">
        <v>43049</v>
      </c>
      <c r="I357" s="38">
        <v>15</v>
      </c>
      <c r="J357" s="38" t="s">
        <v>56</v>
      </c>
      <c r="K357" s="38" t="s">
        <v>57</v>
      </c>
      <c r="L357" s="38" t="s">
        <v>58</v>
      </c>
      <c r="M357" s="38">
        <v>0.59799999999999998</v>
      </c>
      <c r="N357" s="38">
        <v>0.504</v>
      </c>
      <c r="O357" s="38">
        <v>-9.8740000000000006</v>
      </c>
      <c r="P357" s="38">
        <v>7.3099999999999998E-2</v>
      </c>
      <c r="Q357" s="38">
        <v>0.186</v>
      </c>
      <c r="R357" s="38">
        <v>2.2100000000000001E-4</v>
      </c>
      <c r="S357" s="38">
        <v>0.34</v>
      </c>
      <c r="T357" s="38">
        <v>0.252</v>
      </c>
    </row>
    <row r="358" spans="1:20" x14ac:dyDescent="0.15">
      <c r="A358" s="36" t="s">
        <v>678</v>
      </c>
      <c r="B358" s="37" t="s">
        <v>679</v>
      </c>
      <c r="C358" s="38">
        <v>235466</v>
      </c>
      <c r="D358" s="38" t="b">
        <v>0</v>
      </c>
      <c r="E358" s="38">
        <v>15</v>
      </c>
      <c r="F358" s="38" t="s">
        <v>650</v>
      </c>
      <c r="G358" s="38" t="s">
        <v>651</v>
      </c>
      <c r="H358" s="39">
        <v>43049</v>
      </c>
      <c r="I358" s="38">
        <v>15</v>
      </c>
      <c r="J358" s="38" t="s">
        <v>56</v>
      </c>
      <c r="K358" s="38" t="s">
        <v>57</v>
      </c>
      <c r="L358" s="38" t="s">
        <v>58</v>
      </c>
      <c r="M358" s="38">
        <v>0.66100000000000003</v>
      </c>
      <c r="N358" s="38">
        <v>0.151</v>
      </c>
      <c r="O358" s="38">
        <v>-12.864000000000001</v>
      </c>
      <c r="P358" s="38">
        <v>3.5400000000000001E-2</v>
      </c>
      <c r="Q358" s="38">
        <v>0.92100000000000004</v>
      </c>
      <c r="R358" s="38">
        <v>0</v>
      </c>
      <c r="S358" s="38">
        <v>0.13</v>
      </c>
      <c r="T358" s="38">
        <v>0.23</v>
      </c>
    </row>
    <row r="359" spans="1:20" x14ac:dyDescent="0.15">
      <c r="A359" s="36" t="s">
        <v>680</v>
      </c>
      <c r="B359" s="37" t="s">
        <v>681</v>
      </c>
      <c r="C359" s="38">
        <v>329160</v>
      </c>
      <c r="D359" s="38" t="b">
        <v>0</v>
      </c>
      <c r="E359" s="38">
        <v>1</v>
      </c>
      <c r="F359" s="38" t="s">
        <v>682</v>
      </c>
      <c r="G359" s="38" t="s">
        <v>683</v>
      </c>
      <c r="H359" s="39">
        <v>43048</v>
      </c>
      <c r="I359" s="38">
        <v>46</v>
      </c>
      <c r="J359" s="38" t="s">
        <v>56</v>
      </c>
      <c r="K359" s="38" t="s">
        <v>57</v>
      </c>
      <c r="L359" s="38" t="s">
        <v>58</v>
      </c>
      <c r="M359" s="38">
        <v>0.46300000000000002</v>
      </c>
      <c r="N359" s="38">
        <v>0.60499999999999998</v>
      </c>
      <c r="O359" s="38">
        <v>-7.8029999999999999</v>
      </c>
      <c r="P359" s="38">
        <v>2.93E-2</v>
      </c>
      <c r="Q359" s="38">
        <v>4.48E-2</v>
      </c>
      <c r="R359" s="38">
        <v>3.3399999999999999E-4</v>
      </c>
      <c r="S359" s="38">
        <v>0.128</v>
      </c>
      <c r="T359" s="38">
        <v>0.317</v>
      </c>
    </row>
    <row r="360" spans="1:20" x14ac:dyDescent="0.15">
      <c r="A360" s="36" t="s">
        <v>684</v>
      </c>
      <c r="B360" s="37" t="s">
        <v>685</v>
      </c>
      <c r="C360" s="38">
        <v>220440</v>
      </c>
      <c r="D360" s="38" t="b">
        <v>0</v>
      </c>
      <c r="E360" s="38">
        <v>2</v>
      </c>
      <c r="F360" s="38" t="s">
        <v>682</v>
      </c>
      <c r="G360" s="38" t="s">
        <v>683</v>
      </c>
      <c r="H360" s="39">
        <v>43048</v>
      </c>
      <c r="I360" s="38">
        <v>46</v>
      </c>
      <c r="J360" s="38" t="s">
        <v>56</v>
      </c>
      <c r="K360" s="38" t="s">
        <v>57</v>
      </c>
      <c r="L360" s="38" t="s">
        <v>58</v>
      </c>
      <c r="M360" s="38">
        <v>0.55000000000000004</v>
      </c>
      <c r="N360" s="38">
        <v>0.68799999999999994</v>
      </c>
      <c r="O360" s="38">
        <v>-7.4160000000000004</v>
      </c>
      <c r="P360" s="38">
        <v>9.0399999999999994E-2</v>
      </c>
      <c r="Q360" s="38">
        <v>7.0300000000000001E-2</v>
      </c>
      <c r="R360" s="38">
        <v>1.3799999999999999E-3</v>
      </c>
      <c r="S360" s="38">
        <v>0.106</v>
      </c>
      <c r="T360" s="38">
        <v>0.46100000000000002</v>
      </c>
    </row>
    <row r="361" spans="1:20" x14ac:dyDescent="0.15">
      <c r="A361" s="36" t="s">
        <v>686</v>
      </c>
      <c r="B361" s="37" t="s">
        <v>687</v>
      </c>
      <c r="C361" s="38">
        <v>246306</v>
      </c>
      <c r="D361" s="38" t="b">
        <v>0</v>
      </c>
      <c r="E361" s="38">
        <v>3</v>
      </c>
      <c r="F361" s="38" t="s">
        <v>682</v>
      </c>
      <c r="G361" s="38" t="s">
        <v>683</v>
      </c>
      <c r="H361" s="39">
        <v>43048</v>
      </c>
      <c r="I361" s="38">
        <v>46</v>
      </c>
      <c r="J361" s="38" t="s">
        <v>56</v>
      </c>
      <c r="K361" s="38" t="s">
        <v>57</v>
      </c>
      <c r="L361" s="38" t="s">
        <v>58</v>
      </c>
      <c r="M361" s="38">
        <v>0.66800000000000004</v>
      </c>
      <c r="N361" s="38">
        <v>0.44800000000000001</v>
      </c>
      <c r="O361" s="38">
        <v>-8.5670000000000002</v>
      </c>
      <c r="P361" s="38">
        <v>2.8500000000000001E-2</v>
      </c>
      <c r="Q361" s="38">
        <v>0.63800000000000001</v>
      </c>
      <c r="R361" s="38">
        <v>4.0999999999999997E-6</v>
      </c>
      <c r="S361" s="38">
        <v>0.158</v>
      </c>
      <c r="T361" s="38">
        <v>0.38600000000000001</v>
      </c>
    </row>
    <row r="362" spans="1:20" x14ac:dyDescent="0.15">
      <c r="A362" s="36" t="s">
        <v>688</v>
      </c>
      <c r="B362" s="37" t="s">
        <v>689</v>
      </c>
      <c r="C362" s="38">
        <v>223093</v>
      </c>
      <c r="D362" s="38" t="b">
        <v>0</v>
      </c>
      <c r="E362" s="38">
        <v>4</v>
      </c>
      <c r="F362" s="38" t="s">
        <v>682</v>
      </c>
      <c r="G362" s="38" t="s">
        <v>683</v>
      </c>
      <c r="H362" s="39">
        <v>43048</v>
      </c>
      <c r="I362" s="38">
        <v>46</v>
      </c>
      <c r="J362" s="38" t="s">
        <v>56</v>
      </c>
      <c r="K362" s="38" t="s">
        <v>57</v>
      </c>
      <c r="L362" s="38" t="s">
        <v>58</v>
      </c>
      <c r="M362" s="38">
        <v>0.60499999999999998</v>
      </c>
      <c r="N362" s="38">
        <v>0.89900000000000002</v>
      </c>
      <c r="O362" s="38">
        <v>-4.2729999999999997</v>
      </c>
      <c r="P362" s="38">
        <v>4.2299999999999997E-2</v>
      </c>
      <c r="Q362" s="38">
        <v>7.7899999999999997E-2</v>
      </c>
      <c r="R362" s="38">
        <v>1.2400000000000001E-4</v>
      </c>
      <c r="S362" s="38">
        <v>9.11E-2</v>
      </c>
      <c r="T362" s="38">
        <v>0.64700000000000002</v>
      </c>
    </row>
    <row r="363" spans="1:20" x14ac:dyDescent="0.15">
      <c r="A363" s="36" t="s">
        <v>690</v>
      </c>
      <c r="B363" s="37" t="s">
        <v>691</v>
      </c>
      <c r="C363" s="38">
        <v>202960</v>
      </c>
      <c r="D363" s="38" t="b">
        <v>0</v>
      </c>
      <c r="E363" s="38">
        <v>5</v>
      </c>
      <c r="F363" s="38" t="s">
        <v>682</v>
      </c>
      <c r="G363" s="38" t="s">
        <v>683</v>
      </c>
      <c r="H363" s="39">
        <v>43048</v>
      </c>
      <c r="I363" s="38">
        <v>46</v>
      </c>
      <c r="J363" s="38" t="s">
        <v>56</v>
      </c>
      <c r="K363" s="38" t="s">
        <v>57</v>
      </c>
      <c r="L363" s="38" t="s">
        <v>58</v>
      </c>
      <c r="M363" s="38">
        <v>0.627</v>
      </c>
      <c r="N363" s="38">
        <v>0.81599999999999995</v>
      </c>
      <c r="O363" s="38">
        <v>-6.6980000000000004</v>
      </c>
      <c r="P363" s="38">
        <v>7.7399999999999997E-2</v>
      </c>
      <c r="Q363" s="38">
        <v>1.5900000000000001E-2</v>
      </c>
      <c r="R363" s="38">
        <v>2.2000000000000001E-3</v>
      </c>
      <c r="S363" s="38">
        <v>9.6500000000000002E-2</v>
      </c>
      <c r="T363" s="38">
        <v>0.64800000000000002</v>
      </c>
    </row>
    <row r="364" spans="1:20" x14ac:dyDescent="0.15">
      <c r="A364" s="36" t="s">
        <v>692</v>
      </c>
      <c r="B364" s="37" t="s">
        <v>693</v>
      </c>
      <c r="C364" s="38">
        <v>204706</v>
      </c>
      <c r="D364" s="38" t="b">
        <v>0</v>
      </c>
      <c r="E364" s="38">
        <v>6</v>
      </c>
      <c r="F364" s="38" t="s">
        <v>682</v>
      </c>
      <c r="G364" s="38" t="s">
        <v>683</v>
      </c>
      <c r="H364" s="39">
        <v>43048</v>
      </c>
      <c r="I364" s="38">
        <v>46</v>
      </c>
      <c r="J364" s="38" t="s">
        <v>56</v>
      </c>
      <c r="K364" s="38" t="s">
        <v>57</v>
      </c>
      <c r="L364" s="38" t="s">
        <v>58</v>
      </c>
      <c r="M364" s="38">
        <v>0.626</v>
      </c>
      <c r="N364" s="38">
        <v>0.42699999999999999</v>
      </c>
      <c r="O364" s="38">
        <v>-6.9930000000000003</v>
      </c>
      <c r="P364" s="38">
        <v>2.3400000000000001E-2</v>
      </c>
      <c r="Q364" s="38">
        <v>0.315</v>
      </c>
      <c r="R364" s="38">
        <v>0</v>
      </c>
      <c r="S364" s="38">
        <v>0.13800000000000001</v>
      </c>
      <c r="T364" s="38">
        <v>0.26500000000000001</v>
      </c>
    </row>
    <row r="365" spans="1:20" x14ac:dyDescent="0.15">
      <c r="A365" s="36" t="s">
        <v>694</v>
      </c>
      <c r="B365" s="37" t="s">
        <v>695</v>
      </c>
      <c r="C365" s="38">
        <v>203440</v>
      </c>
      <c r="D365" s="38" t="b">
        <v>0</v>
      </c>
      <c r="E365" s="38">
        <v>7</v>
      </c>
      <c r="F365" s="38" t="s">
        <v>682</v>
      </c>
      <c r="G365" s="38" t="s">
        <v>683</v>
      </c>
      <c r="H365" s="39">
        <v>43048</v>
      </c>
      <c r="I365" s="38">
        <v>46</v>
      </c>
      <c r="J365" s="38" t="s">
        <v>56</v>
      </c>
      <c r="K365" s="38" t="s">
        <v>57</v>
      </c>
      <c r="L365" s="38" t="s">
        <v>58</v>
      </c>
      <c r="M365" s="38">
        <v>0.54500000000000004</v>
      </c>
      <c r="N365" s="38">
        <v>0.66300000000000003</v>
      </c>
      <c r="O365" s="38">
        <v>-5.05</v>
      </c>
      <c r="P365" s="38">
        <v>3.6299999999999999E-2</v>
      </c>
      <c r="Q365" s="38">
        <v>0.114</v>
      </c>
      <c r="R365" s="38">
        <v>0</v>
      </c>
      <c r="S365" s="38">
        <v>0.32100000000000001</v>
      </c>
      <c r="T365" s="38">
        <v>0.56499999999999995</v>
      </c>
    </row>
    <row r="366" spans="1:20" x14ac:dyDescent="0.15">
      <c r="A366" s="36">
        <v>22</v>
      </c>
      <c r="B366" s="37" t="s">
        <v>696</v>
      </c>
      <c r="C366" s="38">
        <v>232120</v>
      </c>
      <c r="D366" s="38" t="b">
        <v>0</v>
      </c>
      <c r="E366" s="38">
        <v>8</v>
      </c>
      <c r="F366" s="38" t="s">
        <v>682</v>
      </c>
      <c r="G366" s="38" t="s">
        <v>683</v>
      </c>
      <c r="H366" s="39">
        <v>43048</v>
      </c>
      <c r="I366" s="38">
        <v>46</v>
      </c>
      <c r="J366" s="38" t="s">
        <v>56</v>
      </c>
      <c r="K366" s="38" t="s">
        <v>57</v>
      </c>
      <c r="L366" s="38" t="s">
        <v>58</v>
      </c>
      <c r="M366" s="38">
        <v>0.66</v>
      </c>
      <c r="N366" s="38">
        <v>0.73199999999999998</v>
      </c>
      <c r="O366" s="38">
        <v>-6.5650000000000004</v>
      </c>
      <c r="P366" s="38">
        <v>3.7900000000000003E-2</v>
      </c>
      <c r="Q366" s="38">
        <v>2.5400000000000002E-3</v>
      </c>
      <c r="R366" s="38">
        <v>1.4599999999999999E-3</v>
      </c>
      <c r="S366" s="38">
        <v>4.7300000000000002E-2</v>
      </c>
      <c r="T366" s="38">
        <v>0.67700000000000005</v>
      </c>
    </row>
    <row r="367" spans="1:20" x14ac:dyDescent="0.15">
      <c r="A367" s="36" t="s">
        <v>697</v>
      </c>
      <c r="B367" s="37" t="s">
        <v>698</v>
      </c>
      <c r="C367" s="38">
        <v>219720</v>
      </c>
      <c r="D367" s="38" t="b">
        <v>0</v>
      </c>
      <c r="E367" s="38">
        <v>9</v>
      </c>
      <c r="F367" s="38" t="s">
        <v>682</v>
      </c>
      <c r="G367" s="38" t="s">
        <v>683</v>
      </c>
      <c r="H367" s="39">
        <v>43048</v>
      </c>
      <c r="I367" s="38">
        <v>46</v>
      </c>
      <c r="J367" s="38" t="s">
        <v>56</v>
      </c>
      <c r="K367" s="38" t="s">
        <v>57</v>
      </c>
      <c r="L367" s="38" t="s">
        <v>58</v>
      </c>
      <c r="M367" s="38">
        <v>0.53600000000000003</v>
      </c>
      <c r="N367" s="38">
        <v>0.46400000000000002</v>
      </c>
      <c r="O367" s="38">
        <v>-6.7610000000000001</v>
      </c>
      <c r="P367" s="38">
        <v>4.1200000000000001E-2</v>
      </c>
      <c r="Q367" s="38">
        <v>4.7600000000000003E-3</v>
      </c>
      <c r="R367" s="38">
        <v>2.74E-6</v>
      </c>
      <c r="S367" s="38">
        <v>3.5799999999999998E-2</v>
      </c>
      <c r="T367" s="38">
        <v>0.66600000000000004</v>
      </c>
    </row>
    <row r="368" spans="1:20" x14ac:dyDescent="0.15">
      <c r="A368" s="36" t="s">
        <v>699</v>
      </c>
      <c r="B368" s="37" t="s">
        <v>700</v>
      </c>
      <c r="C368" s="38">
        <v>247160</v>
      </c>
      <c r="D368" s="38" t="b">
        <v>0</v>
      </c>
      <c r="E368" s="38">
        <v>10</v>
      </c>
      <c r="F368" s="38" t="s">
        <v>682</v>
      </c>
      <c r="G368" s="38" t="s">
        <v>683</v>
      </c>
      <c r="H368" s="39">
        <v>43048</v>
      </c>
      <c r="I368" s="38">
        <v>46</v>
      </c>
      <c r="J368" s="38" t="s">
        <v>56</v>
      </c>
      <c r="K368" s="38" t="s">
        <v>57</v>
      </c>
      <c r="L368" s="38" t="s">
        <v>58</v>
      </c>
      <c r="M368" s="38">
        <v>0.73</v>
      </c>
      <c r="N368" s="38">
        <v>0.44400000000000001</v>
      </c>
      <c r="O368" s="38">
        <v>-8.4179999999999993</v>
      </c>
      <c r="P368" s="38">
        <v>5.3800000000000001E-2</v>
      </c>
      <c r="Q368" s="38">
        <v>5.8999999999999997E-2</v>
      </c>
      <c r="R368" s="38">
        <v>1.8E-5</v>
      </c>
      <c r="S368" s="38">
        <v>0.14000000000000001</v>
      </c>
      <c r="T368" s="38">
        <v>0.106</v>
      </c>
    </row>
    <row r="369" spans="1:20" x14ac:dyDescent="0.15">
      <c r="A369" s="36" t="s">
        <v>701</v>
      </c>
      <c r="B369" s="37" t="s">
        <v>702</v>
      </c>
      <c r="C369" s="38">
        <v>238693</v>
      </c>
      <c r="D369" s="38" t="b">
        <v>0</v>
      </c>
      <c r="E369" s="38">
        <v>11</v>
      </c>
      <c r="F369" s="38" t="s">
        <v>682</v>
      </c>
      <c r="G369" s="38" t="s">
        <v>683</v>
      </c>
      <c r="H369" s="39">
        <v>43048</v>
      </c>
      <c r="I369" s="38">
        <v>46</v>
      </c>
      <c r="J369" s="38" t="s">
        <v>56</v>
      </c>
      <c r="K369" s="38" t="s">
        <v>57</v>
      </c>
      <c r="L369" s="38" t="s">
        <v>58</v>
      </c>
      <c r="M369" s="38">
        <v>0.57599999999999996</v>
      </c>
      <c r="N369" s="38">
        <v>0.755</v>
      </c>
      <c r="O369" s="38">
        <v>-3.9820000000000002</v>
      </c>
      <c r="P369" s="38">
        <v>4.2700000000000002E-2</v>
      </c>
      <c r="Q369" s="38">
        <v>0.44900000000000001</v>
      </c>
      <c r="R369" s="38">
        <v>0</v>
      </c>
      <c r="S369" s="38">
        <v>0.223</v>
      </c>
      <c r="T369" s="38">
        <v>0.79100000000000004</v>
      </c>
    </row>
    <row r="370" spans="1:20" x14ac:dyDescent="0.15">
      <c r="A370" s="36" t="s">
        <v>703</v>
      </c>
      <c r="B370" s="37" t="s">
        <v>704</v>
      </c>
      <c r="C370" s="38">
        <v>247533</v>
      </c>
      <c r="D370" s="38" t="b">
        <v>0</v>
      </c>
      <c r="E370" s="38">
        <v>12</v>
      </c>
      <c r="F370" s="38" t="s">
        <v>682</v>
      </c>
      <c r="G370" s="38" t="s">
        <v>683</v>
      </c>
      <c r="H370" s="39">
        <v>43048</v>
      </c>
      <c r="I370" s="38">
        <v>46</v>
      </c>
      <c r="J370" s="38" t="s">
        <v>56</v>
      </c>
      <c r="K370" s="38" t="s">
        <v>57</v>
      </c>
      <c r="L370" s="38" t="s">
        <v>58</v>
      </c>
      <c r="M370" s="38">
        <v>0.76400000000000001</v>
      </c>
      <c r="N370" s="38">
        <v>0.65700000000000003</v>
      </c>
      <c r="O370" s="38">
        <v>-6.1120000000000001</v>
      </c>
      <c r="P370" s="38">
        <v>5.0299999999999997E-2</v>
      </c>
      <c r="Q370" s="38">
        <v>3.63E-3</v>
      </c>
      <c r="R370" s="38">
        <v>8.9899999999999997E-3</v>
      </c>
      <c r="S370" s="38">
        <v>9.1800000000000007E-2</v>
      </c>
      <c r="T370" s="38">
        <v>0.54600000000000004</v>
      </c>
    </row>
    <row r="371" spans="1:20" x14ac:dyDescent="0.15">
      <c r="A371" s="36" t="s">
        <v>662</v>
      </c>
      <c r="B371" s="37" t="s">
        <v>705</v>
      </c>
      <c r="C371" s="38">
        <v>227906</v>
      </c>
      <c r="D371" s="38" t="b">
        <v>0</v>
      </c>
      <c r="E371" s="38">
        <v>13</v>
      </c>
      <c r="F371" s="38" t="s">
        <v>682</v>
      </c>
      <c r="G371" s="38" t="s">
        <v>683</v>
      </c>
      <c r="H371" s="39">
        <v>43048</v>
      </c>
      <c r="I371" s="38">
        <v>46</v>
      </c>
      <c r="J371" s="38" t="s">
        <v>56</v>
      </c>
      <c r="K371" s="38" t="s">
        <v>57</v>
      </c>
      <c r="L371" s="38" t="s">
        <v>58</v>
      </c>
      <c r="M371" s="38">
        <v>0.57799999999999996</v>
      </c>
      <c r="N371" s="38">
        <v>0.61</v>
      </c>
      <c r="O371" s="38">
        <v>-7.2830000000000004</v>
      </c>
      <c r="P371" s="38">
        <v>6.7599999999999993E-2</v>
      </c>
      <c r="Q371" s="38">
        <v>0.122</v>
      </c>
      <c r="R371" s="38">
        <v>1.1000000000000001E-6</v>
      </c>
      <c r="S371" s="38">
        <v>0.13</v>
      </c>
      <c r="T371" s="38">
        <v>0.371</v>
      </c>
    </row>
    <row r="372" spans="1:20" x14ac:dyDescent="0.15">
      <c r="A372" s="36" t="s">
        <v>706</v>
      </c>
      <c r="B372" s="37" t="s">
        <v>707</v>
      </c>
      <c r="C372" s="38">
        <v>295320</v>
      </c>
      <c r="D372" s="38" t="b">
        <v>0</v>
      </c>
      <c r="E372" s="38">
        <v>14</v>
      </c>
      <c r="F372" s="38" t="s">
        <v>682</v>
      </c>
      <c r="G372" s="38" t="s">
        <v>683</v>
      </c>
      <c r="H372" s="39">
        <v>43048</v>
      </c>
      <c r="I372" s="38">
        <v>46</v>
      </c>
      <c r="J372" s="38" t="s">
        <v>56</v>
      </c>
      <c r="K372" s="38" t="s">
        <v>57</v>
      </c>
      <c r="L372" s="38" t="s">
        <v>58</v>
      </c>
      <c r="M372" s="38">
        <v>0.54900000000000004</v>
      </c>
      <c r="N372" s="38">
        <v>0.63</v>
      </c>
      <c r="O372" s="38">
        <v>-4.4359999999999999</v>
      </c>
      <c r="P372" s="38">
        <v>2.7E-2</v>
      </c>
      <c r="Q372" s="38">
        <v>7.0000000000000007E-2</v>
      </c>
      <c r="R372" s="38">
        <v>0</v>
      </c>
      <c r="S372" s="38">
        <v>0.13800000000000001</v>
      </c>
      <c r="T372" s="38">
        <v>0.217</v>
      </c>
    </row>
    <row r="373" spans="1:20" x14ac:dyDescent="0.15">
      <c r="A373" s="36" t="s">
        <v>708</v>
      </c>
      <c r="B373" s="37" t="s">
        <v>709</v>
      </c>
      <c r="C373" s="38">
        <v>231866</v>
      </c>
      <c r="D373" s="38" t="b">
        <v>0</v>
      </c>
      <c r="E373" s="38">
        <v>15</v>
      </c>
      <c r="F373" s="38" t="s">
        <v>682</v>
      </c>
      <c r="G373" s="38" t="s">
        <v>683</v>
      </c>
      <c r="H373" s="39">
        <v>43048</v>
      </c>
      <c r="I373" s="38">
        <v>46</v>
      </c>
      <c r="J373" s="38" t="s">
        <v>56</v>
      </c>
      <c r="K373" s="38" t="s">
        <v>57</v>
      </c>
      <c r="L373" s="38" t="s">
        <v>58</v>
      </c>
      <c r="M373" s="38">
        <v>0.622</v>
      </c>
      <c r="N373" s="38">
        <v>0.78100000000000003</v>
      </c>
      <c r="O373" s="38">
        <v>-2.9449999999999998</v>
      </c>
      <c r="P373" s="38">
        <v>3.0200000000000001E-2</v>
      </c>
      <c r="Q373" s="38">
        <v>3.1099999999999999E-3</v>
      </c>
      <c r="R373" s="38">
        <v>3.1E-6</v>
      </c>
      <c r="S373" s="38">
        <v>0.187</v>
      </c>
      <c r="T373" s="38">
        <v>0.66200000000000003</v>
      </c>
    </row>
    <row r="374" spans="1:20" x14ac:dyDescent="0.15">
      <c r="A374" s="36" t="s">
        <v>710</v>
      </c>
      <c r="B374" s="37" t="s">
        <v>711</v>
      </c>
      <c r="C374" s="38">
        <v>262920</v>
      </c>
      <c r="D374" s="38" t="b">
        <v>0</v>
      </c>
      <c r="E374" s="38">
        <v>16</v>
      </c>
      <c r="F374" s="38" t="s">
        <v>682</v>
      </c>
      <c r="G374" s="38" t="s">
        <v>683</v>
      </c>
      <c r="H374" s="39">
        <v>43048</v>
      </c>
      <c r="I374" s="38">
        <v>46</v>
      </c>
      <c r="J374" s="38" t="s">
        <v>56</v>
      </c>
      <c r="K374" s="38" t="s">
        <v>57</v>
      </c>
      <c r="L374" s="38" t="s">
        <v>58</v>
      </c>
      <c r="M374" s="38">
        <v>0.61</v>
      </c>
      <c r="N374" s="38">
        <v>0.78200000000000003</v>
      </c>
      <c r="O374" s="38">
        <v>-2.98</v>
      </c>
      <c r="P374" s="38">
        <v>3.09E-2</v>
      </c>
      <c r="Q374" s="38">
        <v>4.1000000000000002E-2</v>
      </c>
      <c r="R374" s="38">
        <v>0</v>
      </c>
      <c r="S374" s="38">
        <v>0.16</v>
      </c>
      <c r="T374" s="38">
        <v>0.39900000000000002</v>
      </c>
    </row>
    <row r="375" spans="1:20" x14ac:dyDescent="0.15">
      <c r="A375" s="36" t="s">
        <v>712</v>
      </c>
      <c r="B375" s="37" t="s">
        <v>713</v>
      </c>
      <c r="C375" s="38">
        <v>295720</v>
      </c>
      <c r="D375" s="38" t="b">
        <v>0</v>
      </c>
      <c r="E375" s="38">
        <v>17</v>
      </c>
      <c r="F375" s="38" t="s">
        <v>682</v>
      </c>
      <c r="G375" s="38" t="s">
        <v>683</v>
      </c>
      <c r="H375" s="39">
        <v>43048</v>
      </c>
      <c r="I375" s="38">
        <v>46</v>
      </c>
      <c r="J375" s="38" t="s">
        <v>56</v>
      </c>
      <c r="K375" s="38" t="s">
        <v>57</v>
      </c>
      <c r="L375" s="38" t="s">
        <v>58</v>
      </c>
      <c r="M375" s="38">
        <v>0.59099999999999997</v>
      </c>
      <c r="N375" s="38">
        <v>0.82799999999999996</v>
      </c>
      <c r="O375" s="38">
        <v>-5.8949999999999996</v>
      </c>
      <c r="P375" s="38">
        <v>3.3300000000000003E-2</v>
      </c>
      <c r="Q375" s="38">
        <v>1.8200000000000001E-4</v>
      </c>
      <c r="R375" s="38">
        <v>1.15E-3</v>
      </c>
      <c r="S375" s="38">
        <v>8.7900000000000006E-2</v>
      </c>
      <c r="T375" s="38">
        <v>0.38300000000000001</v>
      </c>
    </row>
    <row r="376" spans="1:20" x14ac:dyDescent="0.15">
      <c r="A376" s="36" t="s">
        <v>714</v>
      </c>
      <c r="B376" s="37" t="s">
        <v>715</v>
      </c>
      <c r="C376" s="38">
        <v>245413</v>
      </c>
      <c r="D376" s="38" t="b">
        <v>0</v>
      </c>
      <c r="E376" s="38">
        <v>18</v>
      </c>
      <c r="F376" s="38" t="s">
        <v>682</v>
      </c>
      <c r="G376" s="38" t="s">
        <v>683</v>
      </c>
      <c r="H376" s="39">
        <v>43048</v>
      </c>
      <c r="I376" s="38">
        <v>46</v>
      </c>
      <c r="J376" s="38" t="s">
        <v>56</v>
      </c>
      <c r="K376" s="38" t="s">
        <v>57</v>
      </c>
      <c r="L376" s="38" t="s">
        <v>58</v>
      </c>
      <c r="M376" s="38">
        <v>0.43</v>
      </c>
      <c r="N376" s="38">
        <v>0.94799999999999995</v>
      </c>
      <c r="O376" s="38">
        <v>-2.6219999999999999</v>
      </c>
      <c r="P376" s="38">
        <v>6.0499999999999998E-2</v>
      </c>
      <c r="Q376" s="38">
        <v>6.5500000000000003E-2</v>
      </c>
      <c r="R376" s="38">
        <v>0</v>
      </c>
      <c r="S376" s="38">
        <v>6.1199999999999997E-2</v>
      </c>
      <c r="T376" s="38">
        <v>0.371</v>
      </c>
    </row>
    <row r="377" spans="1:20" x14ac:dyDescent="0.15">
      <c r="A377" s="36" t="s">
        <v>716</v>
      </c>
      <c r="B377" s="37" t="s">
        <v>717</v>
      </c>
      <c r="C377" s="38">
        <v>292920</v>
      </c>
      <c r="D377" s="38" t="b">
        <v>0</v>
      </c>
      <c r="E377" s="38">
        <v>19</v>
      </c>
      <c r="F377" s="38" t="s">
        <v>682</v>
      </c>
      <c r="G377" s="38" t="s">
        <v>683</v>
      </c>
      <c r="H377" s="39">
        <v>43048</v>
      </c>
      <c r="I377" s="38">
        <v>46</v>
      </c>
      <c r="J377" s="38" t="s">
        <v>56</v>
      </c>
      <c r="K377" s="38" t="s">
        <v>57</v>
      </c>
      <c r="L377" s="38" t="s">
        <v>58</v>
      </c>
      <c r="M377" s="38">
        <v>0.71399999999999997</v>
      </c>
      <c r="N377" s="38">
        <v>0.309</v>
      </c>
      <c r="O377" s="38">
        <v>-8.8279999999999994</v>
      </c>
      <c r="P377" s="38">
        <v>3.0200000000000001E-2</v>
      </c>
      <c r="Q377" s="38">
        <v>0.82399999999999995</v>
      </c>
      <c r="R377" s="38">
        <v>0</v>
      </c>
      <c r="S377" s="38">
        <v>0.13600000000000001</v>
      </c>
      <c r="T377" s="38">
        <v>0.54600000000000004</v>
      </c>
    </row>
    <row r="378" spans="1:20" x14ac:dyDescent="0.15">
      <c r="A378" s="36" t="s">
        <v>718</v>
      </c>
      <c r="B378" s="37" t="s">
        <v>719</v>
      </c>
      <c r="C378" s="38">
        <v>242760</v>
      </c>
      <c r="D378" s="38" t="b">
        <v>0</v>
      </c>
      <c r="E378" s="38">
        <v>20</v>
      </c>
      <c r="F378" s="38" t="s">
        <v>682</v>
      </c>
      <c r="G378" s="38" t="s">
        <v>683</v>
      </c>
      <c r="H378" s="39">
        <v>43048</v>
      </c>
      <c r="I378" s="38">
        <v>46</v>
      </c>
      <c r="J378" s="38" t="s">
        <v>56</v>
      </c>
      <c r="K378" s="38" t="s">
        <v>57</v>
      </c>
      <c r="L378" s="38" t="s">
        <v>58</v>
      </c>
      <c r="M378" s="38">
        <v>0.70399999999999996</v>
      </c>
      <c r="N378" s="38">
        <v>0.621</v>
      </c>
      <c r="O378" s="38">
        <v>-8.0860000000000003</v>
      </c>
      <c r="P378" s="38">
        <v>3.3399999999999999E-2</v>
      </c>
      <c r="Q378" s="38">
        <v>0.10100000000000001</v>
      </c>
      <c r="R378" s="38">
        <v>4.3000000000000003E-6</v>
      </c>
      <c r="S378" s="38">
        <v>0.14000000000000001</v>
      </c>
      <c r="T378" s="38">
        <v>0.39500000000000002</v>
      </c>
    </row>
    <row r="379" spans="1:20" x14ac:dyDescent="0.15">
      <c r="A379" s="36" t="s">
        <v>720</v>
      </c>
      <c r="B379" s="37" t="s">
        <v>721</v>
      </c>
      <c r="C379" s="38">
        <v>215106</v>
      </c>
      <c r="D379" s="38" t="b">
        <v>0</v>
      </c>
      <c r="E379" s="38">
        <v>21</v>
      </c>
      <c r="F379" s="38" t="s">
        <v>682</v>
      </c>
      <c r="G379" s="38" t="s">
        <v>683</v>
      </c>
      <c r="H379" s="39">
        <v>43048</v>
      </c>
      <c r="I379" s="38">
        <v>46</v>
      </c>
      <c r="J379" s="38" t="s">
        <v>56</v>
      </c>
      <c r="K379" s="38" t="s">
        <v>57</v>
      </c>
      <c r="L379" s="38" t="s">
        <v>58</v>
      </c>
      <c r="M379" s="38">
        <v>0.57699999999999996</v>
      </c>
      <c r="N379" s="38">
        <v>0.78500000000000003</v>
      </c>
      <c r="O379" s="38">
        <v>-3.266</v>
      </c>
      <c r="P379" s="38">
        <v>0.10199999999999999</v>
      </c>
      <c r="Q379" s="38">
        <v>2.2100000000000002E-2</v>
      </c>
      <c r="R379" s="38">
        <v>0</v>
      </c>
      <c r="S379" s="38">
        <v>0.125</v>
      </c>
      <c r="T379" s="38">
        <v>0.64700000000000002</v>
      </c>
    </row>
    <row r="380" spans="1:20" x14ac:dyDescent="0.15">
      <c r="A380" s="36" t="s">
        <v>722</v>
      </c>
      <c r="B380" s="37" t="s">
        <v>723</v>
      </c>
      <c r="C380" s="38">
        <v>212600</v>
      </c>
      <c r="D380" s="38" t="b">
        <v>0</v>
      </c>
      <c r="E380" s="38">
        <v>22</v>
      </c>
      <c r="F380" s="38" t="s">
        <v>682</v>
      </c>
      <c r="G380" s="38" t="s">
        <v>683</v>
      </c>
      <c r="H380" s="39">
        <v>43048</v>
      </c>
      <c r="I380" s="38">
        <v>46</v>
      </c>
      <c r="J380" s="38" t="s">
        <v>56</v>
      </c>
      <c r="K380" s="38" t="s">
        <v>57</v>
      </c>
      <c r="L380" s="38" t="s">
        <v>58</v>
      </c>
      <c r="M380" s="38">
        <v>0.78900000000000003</v>
      </c>
      <c r="N380" s="38">
        <v>0.63400000000000001</v>
      </c>
      <c r="O380" s="38">
        <v>-4.7619999999999996</v>
      </c>
      <c r="P380" s="38">
        <v>3.2300000000000002E-2</v>
      </c>
      <c r="Q380" s="38">
        <v>3.4799999999999998E-2</v>
      </c>
      <c r="R380" s="38">
        <v>1.6899999999999999E-6</v>
      </c>
      <c r="S380" s="38">
        <v>0.30199999999999999</v>
      </c>
      <c r="T380" s="38">
        <v>0.65800000000000003</v>
      </c>
    </row>
    <row r="381" spans="1:20" x14ac:dyDescent="0.15">
      <c r="A381" s="36" t="s">
        <v>724</v>
      </c>
      <c r="B381" s="37" t="s">
        <v>725</v>
      </c>
      <c r="C381" s="38">
        <v>242973</v>
      </c>
      <c r="D381" s="38" t="b">
        <v>0</v>
      </c>
      <c r="E381" s="38">
        <v>23</v>
      </c>
      <c r="F381" s="38" t="s">
        <v>682</v>
      </c>
      <c r="G381" s="38" t="s">
        <v>683</v>
      </c>
      <c r="H381" s="39">
        <v>43048</v>
      </c>
      <c r="I381" s="38">
        <v>46</v>
      </c>
      <c r="J381" s="38" t="s">
        <v>56</v>
      </c>
      <c r="K381" s="38" t="s">
        <v>57</v>
      </c>
      <c r="L381" s="38" t="s">
        <v>58</v>
      </c>
      <c r="M381" s="38">
        <v>0.60299999999999998</v>
      </c>
      <c r="N381" s="38">
        <v>0.71699999999999997</v>
      </c>
      <c r="O381" s="38">
        <v>-4.4009999999999998</v>
      </c>
      <c r="P381" s="38">
        <v>2.7199999999999998E-2</v>
      </c>
      <c r="Q381" s="38">
        <v>3.8100000000000002E-2</v>
      </c>
      <c r="R381" s="38">
        <v>0</v>
      </c>
      <c r="S381" s="38">
        <v>0.307</v>
      </c>
      <c r="T381" s="38">
        <v>0.42899999999999999</v>
      </c>
    </row>
    <row r="382" spans="1:20" x14ac:dyDescent="0.15">
      <c r="A382" s="36" t="s">
        <v>726</v>
      </c>
      <c r="B382" s="37" t="s">
        <v>727</v>
      </c>
      <c r="C382" s="38">
        <v>353253</v>
      </c>
      <c r="D382" s="38" t="b">
        <v>0</v>
      </c>
      <c r="E382" s="38">
        <v>24</v>
      </c>
      <c r="F382" s="38" t="s">
        <v>682</v>
      </c>
      <c r="G382" s="38" t="s">
        <v>683</v>
      </c>
      <c r="H382" s="39">
        <v>43048</v>
      </c>
      <c r="I382" s="38">
        <v>46</v>
      </c>
      <c r="J382" s="38" t="s">
        <v>56</v>
      </c>
      <c r="K382" s="38" t="s">
        <v>57</v>
      </c>
      <c r="L382" s="38" t="s">
        <v>58</v>
      </c>
      <c r="M382" s="38">
        <v>0.53600000000000003</v>
      </c>
      <c r="N382" s="38">
        <v>0.629</v>
      </c>
      <c r="O382" s="38">
        <v>-3.907</v>
      </c>
      <c r="P382" s="38">
        <v>2.75E-2</v>
      </c>
      <c r="Q382" s="38">
        <v>7.0699999999999999E-2</v>
      </c>
      <c r="R382" s="38">
        <v>1.17E-3</v>
      </c>
      <c r="S382" s="38">
        <v>0.158</v>
      </c>
      <c r="T382" s="38">
        <v>0.222</v>
      </c>
    </row>
    <row r="383" spans="1:20" x14ac:dyDescent="0.15">
      <c r="A383" s="36" t="s">
        <v>728</v>
      </c>
      <c r="B383" s="37" t="s">
        <v>729</v>
      </c>
      <c r="C383" s="38">
        <v>281053</v>
      </c>
      <c r="D383" s="38" t="b">
        <v>0</v>
      </c>
      <c r="E383" s="38">
        <v>25</v>
      </c>
      <c r="F383" s="38" t="s">
        <v>682</v>
      </c>
      <c r="G383" s="38" t="s">
        <v>683</v>
      </c>
      <c r="H383" s="39">
        <v>43048</v>
      </c>
      <c r="I383" s="38">
        <v>46</v>
      </c>
      <c r="J383" s="38" t="s">
        <v>56</v>
      </c>
      <c r="K383" s="38" t="s">
        <v>57</v>
      </c>
      <c r="L383" s="38" t="s">
        <v>58</v>
      </c>
      <c r="M383" s="38">
        <v>0.54300000000000004</v>
      </c>
      <c r="N383" s="38">
        <v>0.76400000000000001</v>
      </c>
      <c r="O383" s="38">
        <v>-4.2060000000000004</v>
      </c>
      <c r="P383" s="38">
        <v>3.7699999999999997E-2</v>
      </c>
      <c r="Q383" s="38">
        <v>4.1799999999999997E-3</v>
      </c>
      <c r="R383" s="38">
        <v>0</v>
      </c>
      <c r="S383" s="38">
        <v>0.111</v>
      </c>
      <c r="T383" s="38">
        <v>0.23300000000000001</v>
      </c>
    </row>
    <row r="384" spans="1:20" x14ac:dyDescent="0.15">
      <c r="A384" s="36" t="s">
        <v>730</v>
      </c>
      <c r="B384" s="37" t="s">
        <v>731</v>
      </c>
      <c r="C384" s="38">
        <v>239346</v>
      </c>
      <c r="D384" s="38" t="b">
        <v>0</v>
      </c>
      <c r="E384" s="38">
        <v>26</v>
      </c>
      <c r="F384" s="38" t="s">
        <v>682</v>
      </c>
      <c r="G384" s="38" t="s">
        <v>683</v>
      </c>
      <c r="H384" s="39">
        <v>43048</v>
      </c>
      <c r="I384" s="38">
        <v>46</v>
      </c>
      <c r="J384" s="38" t="s">
        <v>56</v>
      </c>
      <c r="K384" s="38" t="s">
        <v>57</v>
      </c>
      <c r="L384" s="38" t="s">
        <v>58</v>
      </c>
      <c r="M384" s="38">
        <v>0.60899999999999999</v>
      </c>
      <c r="N384" s="38">
        <v>0.56000000000000005</v>
      </c>
      <c r="O384" s="38">
        <v>-7.3920000000000003</v>
      </c>
      <c r="P384" s="38">
        <v>2.7900000000000001E-2</v>
      </c>
      <c r="Q384" s="38">
        <v>0.46899999999999997</v>
      </c>
      <c r="R384" s="38">
        <v>0</v>
      </c>
      <c r="S384" s="38">
        <v>8.6999999999999994E-2</v>
      </c>
      <c r="T384" s="38">
        <v>0.22800000000000001</v>
      </c>
    </row>
    <row r="385" spans="1:20" x14ac:dyDescent="0.15">
      <c r="A385" s="36" t="s">
        <v>732</v>
      </c>
      <c r="B385" s="37" t="s">
        <v>733</v>
      </c>
      <c r="C385" s="38">
        <v>235800</v>
      </c>
      <c r="D385" s="38" t="b">
        <v>0</v>
      </c>
      <c r="E385" s="38">
        <v>27</v>
      </c>
      <c r="F385" s="38" t="s">
        <v>682</v>
      </c>
      <c r="G385" s="38" t="s">
        <v>683</v>
      </c>
      <c r="H385" s="39">
        <v>43048</v>
      </c>
      <c r="I385" s="38">
        <v>46</v>
      </c>
      <c r="J385" s="38" t="s">
        <v>56</v>
      </c>
      <c r="K385" s="38" t="s">
        <v>57</v>
      </c>
      <c r="L385" s="38" t="s">
        <v>58</v>
      </c>
      <c r="M385" s="38">
        <v>0.55300000000000005</v>
      </c>
      <c r="N385" s="38">
        <v>0.84099999999999997</v>
      </c>
      <c r="O385" s="38">
        <v>-6.9370000000000003</v>
      </c>
      <c r="P385" s="38">
        <v>3.9699999999999999E-2</v>
      </c>
      <c r="Q385" s="38">
        <v>7.4299999999999995E-4</v>
      </c>
      <c r="R385" s="38">
        <v>1.0699999999999999E-5</v>
      </c>
      <c r="S385" s="38">
        <v>0.34100000000000003</v>
      </c>
      <c r="T385" s="38">
        <v>0.33900000000000002</v>
      </c>
    </row>
    <row r="386" spans="1:20" x14ac:dyDescent="0.15">
      <c r="A386" s="36" t="s">
        <v>734</v>
      </c>
      <c r="B386" s="37" t="s">
        <v>735</v>
      </c>
      <c r="C386" s="38">
        <v>223920</v>
      </c>
      <c r="D386" s="38" t="b">
        <v>0</v>
      </c>
      <c r="E386" s="38">
        <v>28</v>
      </c>
      <c r="F386" s="38" t="s">
        <v>682</v>
      </c>
      <c r="G386" s="38" t="s">
        <v>683</v>
      </c>
      <c r="H386" s="39">
        <v>43048</v>
      </c>
      <c r="I386" s="38">
        <v>46</v>
      </c>
      <c r="J386" s="38" t="s">
        <v>56</v>
      </c>
      <c r="K386" s="38" t="s">
        <v>57</v>
      </c>
      <c r="L386" s="38" t="s">
        <v>58</v>
      </c>
      <c r="M386" s="38">
        <v>0.48599999999999999</v>
      </c>
      <c r="N386" s="38">
        <v>0.54800000000000004</v>
      </c>
      <c r="O386" s="38">
        <v>-6.2910000000000004</v>
      </c>
      <c r="P386" s="38">
        <v>2.5600000000000001E-2</v>
      </c>
      <c r="Q386" s="38">
        <v>4.7099999999999998E-3</v>
      </c>
      <c r="R386" s="38">
        <v>2.0600000000000002E-6</v>
      </c>
      <c r="S386" s="38">
        <v>9.9699999999999997E-2</v>
      </c>
      <c r="T386" s="38">
        <v>0.22</v>
      </c>
    </row>
    <row r="387" spans="1:20" x14ac:dyDescent="0.15">
      <c r="A387" s="36" t="s">
        <v>736</v>
      </c>
      <c r="B387" s="37" t="s">
        <v>737</v>
      </c>
      <c r="C387" s="38">
        <v>202080</v>
      </c>
      <c r="D387" s="38" t="b">
        <v>0</v>
      </c>
      <c r="E387" s="38">
        <v>29</v>
      </c>
      <c r="F387" s="38" t="s">
        <v>682</v>
      </c>
      <c r="G387" s="38" t="s">
        <v>683</v>
      </c>
      <c r="H387" s="39">
        <v>43048</v>
      </c>
      <c r="I387" s="38">
        <v>46</v>
      </c>
      <c r="J387" s="38" t="s">
        <v>56</v>
      </c>
      <c r="K387" s="38" t="s">
        <v>57</v>
      </c>
      <c r="L387" s="38" t="s">
        <v>58</v>
      </c>
      <c r="M387" s="38">
        <v>0.57299999999999995</v>
      </c>
      <c r="N387" s="38">
        <v>0.76700000000000002</v>
      </c>
      <c r="O387" s="38">
        <v>-2.9289999999999998</v>
      </c>
      <c r="P387" s="38">
        <v>3.2300000000000002E-2</v>
      </c>
      <c r="Q387" s="38">
        <v>5.7599999999999998E-2</v>
      </c>
      <c r="R387" s="38">
        <v>0</v>
      </c>
      <c r="S387" s="38">
        <v>0.32700000000000001</v>
      </c>
      <c r="T387" s="38">
        <v>0.438</v>
      </c>
    </row>
    <row r="388" spans="1:20" x14ac:dyDescent="0.15">
      <c r="A388" s="36" t="s">
        <v>738</v>
      </c>
      <c r="B388" s="37" t="s">
        <v>739</v>
      </c>
      <c r="C388" s="38">
        <v>250093</v>
      </c>
      <c r="D388" s="38" t="b">
        <v>0</v>
      </c>
      <c r="E388" s="38">
        <v>30</v>
      </c>
      <c r="F388" s="38" t="s">
        <v>682</v>
      </c>
      <c r="G388" s="38" t="s">
        <v>683</v>
      </c>
      <c r="H388" s="39">
        <v>43048</v>
      </c>
      <c r="I388" s="38">
        <v>46</v>
      </c>
      <c r="J388" s="38" t="s">
        <v>56</v>
      </c>
      <c r="K388" s="38" t="s">
        <v>57</v>
      </c>
      <c r="L388" s="38" t="s">
        <v>58</v>
      </c>
      <c r="M388" s="38">
        <v>0.48</v>
      </c>
      <c r="N388" s="38">
        <v>0.435</v>
      </c>
      <c r="O388" s="38">
        <v>-8.7949999999999999</v>
      </c>
      <c r="P388" s="38">
        <v>3.1899999999999998E-2</v>
      </c>
      <c r="Q388" s="38">
        <v>0.67900000000000005</v>
      </c>
      <c r="R388" s="38">
        <v>0</v>
      </c>
      <c r="S388" s="38">
        <v>9.2799999999999994E-2</v>
      </c>
      <c r="T388" s="38">
        <v>0.108</v>
      </c>
    </row>
    <row r="389" spans="1:20" x14ac:dyDescent="0.15">
      <c r="A389" s="36" t="s">
        <v>740</v>
      </c>
      <c r="B389" s="37" t="s">
        <v>741</v>
      </c>
      <c r="C389" s="38">
        <v>240266</v>
      </c>
      <c r="D389" s="38" t="b">
        <v>0</v>
      </c>
      <c r="E389" s="38">
        <v>31</v>
      </c>
      <c r="F389" s="38" t="s">
        <v>682</v>
      </c>
      <c r="G389" s="38" t="s">
        <v>683</v>
      </c>
      <c r="H389" s="39">
        <v>43048</v>
      </c>
      <c r="I389" s="38">
        <v>46</v>
      </c>
      <c r="J389" s="38" t="s">
        <v>56</v>
      </c>
      <c r="K389" s="38" t="s">
        <v>57</v>
      </c>
      <c r="L389" s="38" t="s">
        <v>58</v>
      </c>
      <c r="M389" s="38">
        <v>0.70599999999999996</v>
      </c>
      <c r="N389" s="38">
        <v>0.505</v>
      </c>
      <c r="O389" s="38">
        <v>-7.6390000000000002</v>
      </c>
      <c r="P389" s="38">
        <v>3.5799999999999998E-2</v>
      </c>
      <c r="Q389" s="38">
        <v>3.5200000000000002E-2</v>
      </c>
      <c r="R389" s="38">
        <v>0</v>
      </c>
      <c r="S389" s="38">
        <v>0.13</v>
      </c>
      <c r="T389" s="38">
        <v>0.56100000000000005</v>
      </c>
    </row>
    <row r="390" spans="1:20" x14ac:dyDescent="0.15">
      <c r="A390" s="36" t="s">
        <v>742</v>
      </c>
      <c r="B390" s="37" t="s">
        <v>743</v>
      </c>
      <c r="C390" s="38">
        <v>205853</v>
      </c>
      <c r="D390" s="38" t="b">
        <v>0</v>
      </c>
      <c r="E390" s="38">
        <v>32</v>
      </c>
      <c r="F390" s="38" t="s">
        <v>682</v>
      </c>
      <c r="G390" s="38" t="s">
        <v>683</v>
      </c>
      <c r="H390" s="39">
        <v>43048</v>
      </c>
      <c r="I390" s="38">
        <v>46</v>
      </c>
      <c r="J390" s="38" t="s">
        <v>56</v>
      </c>
      <c r="K390" s="38" t="s">
        <v>57</v>
      </c>
      <c r="L390" s="38" t="s">
        <v>58</v>
      </c>
      <c r="M390" s="38">
        <v>0.60799999999999998</v>
      </c>
      <c r="N390" s="38">
        <v>0.38400000000000001</v>
      </c>
      <c r="O390" s="38">
        <v>-5.7320000000000002</v>
      </c>
      <c r="P390" s="38">
        <v>2.46E-2</v>
      </c>
      <c r="Q390" s="38">
        <v>0.56000000000000005</v>
      </c>
      <c r="R390" s="38">
        <v>0</v>
      </c>
      <c r="S390" s="38">
        <v>0.16500000000000001</v>
      </c>
      <c r="T390" s="38">
        <v>0.217</v>
      </c>
    </row>
    <row r="391" spans="1:20" x14ac:dyDescent="0.15">
      <c r="A391" s="36" t="s">
        <v>744</v>
      </c>
      <c r="B391" s="37" t="s">
        <v>745</v>
      </c>
      <c r="C391" s="38">
        <v>264946</v>
      </c>
      <c r="D391" s="38" t="b">
        <v>0</v>
      </c>
      <c r="E391" s="38">
        <v>33</v>
      </c>
      <c r="F391" s="38" t="s">
        <v>682</v>
      </c>
      <c r="G391" s="38" t="s">
        <v>683</v>
      </c>
      <c r="H391" s="39">
        <v>43048</v>
      </c>
      <c r="I391" s="38">
        <v>46</v>
      </c>
      <c r="J391" s="38" t="s">
        <v>56</v>
      </c>
      <c r="K391" s="38" t="s">
        <v>57</v>
      </c>
      <c r="L391" s="38" t="s">
        <v>58</v>
      </c>
      <c r="M391" s="38">
        <v>0.442</v>
      </c>
      <c r="N391" s="38">
        <v>0.48</v>
      </c>
      <c r="O391" s="38">
        <v>-7.4050000000000002</v>
      </c>
      <c r="P391" s="38">
        <v>2.81E-2</v>
      </c>
      <c r="Q391" s="38">
        <v>0.41599999999999998</v>
      </c>
      <c r="R391" s="38">
        <v>0</v>
      </c>
      <c r="S391" s="38">
        <v>0.129</v>
      </c>
      <c r="T391" s="38">
        <v>0.16700000000000001</v>
      </c>
    </row>
    <row r="392" spans="1:20" x14ac:dyDescent="0.15">
      <c r="A392" s="36" t="s">
        <v>746</v>
      </c>
      <c r="B392" s="37" t="s">
        <v>747</v>
      </c>
      <c r="C392" s="38">
        <v>263613</v>
      </c>
      <c r="D392" s="38" t="b">
        <v>0</v>
      </c>
      <c r="E392" s="38">
        <v>34</v>
      </c>
      <c r="F392" s="38" t="s">
        <v>682</v>
      </c>
      <c r="G392" s="38" t="s">
        <v>683</v>
      </c>
      <c r="H392" s="39">
        <v>43048</v>
      </c>
      <c r="I392" s="38">
        <v>46</v>
      </c>
      <c r="J392" s="38" t="s">
        <v>56</v>
      </c>
      <c r="K392" s="38" t="s">
        <v>57</v>
      </c>
      <c r="L392" s="38" t="s">
        <v>58</v>
      </c>
      <c r="M392" s="38">
        <v>0.503</v>
      </c>
      <c r="N392" s="38">
        <v>0.84399999999999997</v>
      </c>
      <c r="O392" s="38">
        <v>-3.6480000000000001</v>
      </c>
      <c r="P392" s="38">
        <v>3.7900000000000003E-2</v>
      </c>
      <c r="Q392" s="38">
        <v>0.121</v>
      </c>
      <c r="R392" s="38">
        <v>0</v>
      </c>
      <c r="S392" s="38">
        <v>9.74E-2</v>
      </c>
      <c r="T392" s="38">
        <v>0.50800000000000001</v>
      </c>
    </row>
    <row r="393" spans="1:20" x14ac:dyDescent="0.15">
      <c r="A393" s="36" t="s">
        <v>748</v>
      </c>
      <c r="B393" s="37" t="s">
        <v>749</v>
      </c>
      <c r="C393" s="38">
        <v>238093</v>
      </c>
      <c r="D393" s="38" t="b">
        <v>0</v>
      </c>
      <c r="E393" s="38">
        <v>35</v>
      </c>
      <c r="F393" s="38" t="s">
        <v>682</v>
      </c>
      <c r="G393" s="38" t="s">
        <v>683</v>
      </c>
      <c r="H393" s="39">
        <v>43048</v>
      </c>
      <c r="I393" s="38">
        <v>46</v>
      </c>
      <c r="J393" s="38" t="s">
        <v>56</v>
      </c>
      <c r="K393" s="38" t="s">
        <v>57</v>
      </c>
      <c r="L393" s="38" t="s">
        <v>58</v>
      </c>
      <c r="M393" s="38">
        <v>0.61699999999999999</v>
      </c>
      <c r="N393" s="38">
        <v>0.69899999999999995</v>
      </c>
      <c r="O393" s="38">
        <v>-5.7119999999999997</v>
      </c>
      <c r="P393" s="38">
        <v>2.7099999999999999E-2</v>
      </c>
      <c r="Q393" s="38">
        <v>0.113</v>
      </c>
      <c r="R393" s="38">
        <v>0</v>
      </c>
      <c r="S393" s="38">
        <v>7.3999999999999996E-2</v>
      </c>
      <c r="T393" s="38">
        <v>0.82699999999999996</v>
      </c>
    </row>
    <row r="394" spans="1:20" x14ac:dyDescent="0.15">
      <c r="A394" s="36" t="s">
        <v>750</v>
      </c>
      <c r="B394" s="37" t="s">
        <v>751</v>
      </c>
      <c r="C394" s="38">
        <v>239426</v>
      </c>
      <c r="D394" s="38" t="b">
        <v>0</v>
      </c>
      <c r="E394" s="38">
        <v>36</v>
      </c>
      <c r="F394" s="38" t="s">
        <v>682</v>
      </c>
      <c r="G394" s="38" t="s">
        <v>683</v>
      </c>
      <c r="H394" s="39">
        <v>43048</v>
      </c>
      <c r="I394" s="38">
        <v>46</v>
      </c>
      <c r="J394" s="38" t="s">
        <v>56</v>
      </c>
      <c r="K394" s="38" t="s">
        <v>57</v>
      </c>
      <c r="L394" s="38" t="s">
        <v>58</v>
      </c>
      <c r="M394" s="38">
        <v>0.51600000000000001</v>
      </c>
      <c r="N394" s="38">
        <v>0.52600000000000002</v>
      </c>
      <c r="O394" s="38">
        <v>-8.3490000000000002</v>
      </c>
      <c r="P394" s="38">
        <v>2.69E-2</v>
      </c>
      <c r="Q394" s="38">
        <v>0.19700000000000001</v>
      </c>
      <c r="R394" s="38">
        <v>3.49E-6</v>
      </c>
      <c r="S394" s="38">
        <v>0.14000000000000001</v>
      </c>
      <c r="T394" s="38">
        <v>0.312</v>
      </c>
    </row>
    <row r="395" spans="1:20" x14ac:dyDescent="0.15">
      <c r="A395" s="36" t="s">
        <v>752</v>
      </c>
      <c r="B395" s="37" t="s">
        <v>753</v>
      </c>
      <c r="C395" s="38">
        <v>251213</v>
      </c>
      <c r="D395" s="38" t="b">
        <v>0</v>
      </c>
      <c r="E395" s="38">
        <v>37</v>
      </c>
      <c r="F395" s="38" t="s">
        <v>682</v>
      </c>
      <c r="G395" s="38" t="s">
        <v>683</v>
      </c>
      <c r="H395" s="39">
        <v>43048</v>
      </c>
      <c r="I395" s="38">
        <v>46</v>
      </c>
      <c r="J395" s="38" t="s">
        <v>56</v>
      </c>
      <c r="K395" s="38" t="s">
        <v>57</v>
      </c>
      <c r="L395" s="38" t="s">
        <v>58</v>
      </c>
      <c r="M395" s="38">
        <v>0.47799999999999998</v>
      </c>
      <c r="N395" s="38">
        <v>0.54700000000000004</v>
      </c>
      <c r="O395" s="38">
        <v>-4.9480000000000004</v>
      </c>
      <c r="P395" s="38">
        <v>2.75E-2</v>
      </c>
      <c r="Q395" s="38">
        <v>0.52300000000000002</v>
      </c>
      <c r="R395" s="38">
        <v>0</v>
      </c>
      <c r="S395" s="38">
        <v>7.2800000000000004E-2</v>
      </c>
      <c r="T395" s="38">
        <v>0.23799999999999999</v>
      </c>
    </row>
    <row r="396" spans="1:20" x14ac:dyDescent="0.15">
      <c r="A396" s="36" t="s">
        <v>754</v>
      </c>
      <c r="B396" s="37" t="s">
        <v>755</v>
      </c>
      <c r="C396" s="38">
        <v>267653</v>
      </c>
      <c r="D396" s="38" t="b">
        <v>0</v>
      </c>
      <c r="E396" s="38">
        <v>38</v>
      </c>
      <c r="F396" s="38" t="s">
        <v>682</v>
      </c>
      <c r="G396" s="38" t="s">
        <v>683</v>
      </c>
      <c r="H396" s="39">
        <v>43048</v>
      </c>
      <c r="I396" s="38">
        <v>46</v>
      </c>
      <c r="J396" s="38" t="s">
        <v>56</v>
      </c>
      <c r="K396" s="38" t="s">
        <v>57</v>
      </c>
      <c r="L396" s="38" t="s">
        <v>58</v>
      </c>
      <c r="M396" s="38">
        <v>0.54700000000000004</v>
      </c>
      <c r="N396" s="38">
        <v>0.80700000000000005</v>
      </c>
      <c r="O396" s="38">
        <v>-3.63</v>
      </c>
      <c r="P396" s="38">
        <v>3.9800000000000002E-2</v>
      </c>
      <c r="Q396" s="38">
        <v>5.5599999999999998E-3</v>
      </c>
      <c r="R396" s="38">
        <v>3.1799999999999998E-4</v>
      </c>
      <c r="S396" s="38">
        <v>5.8799999999999998E-2</v>
      </c>
      <c r="T396" s="38">
        <v>0.64500000000000002</v>
      </c>
    </row>
    <row r="397" spans="1:20" x14ac:dyDescent="0.15">
      <c r="A397" s="36" t="s">
        <v>756</v>
      </c>
      <c r="B397" s="37" t="s">
        <v>757</v>
      </c>
      <c r="C397" s="38">
        <v>226293</v>
      </c>
      <c r="D397" s="38" t="b">
        <v>0</v>
      </c>
      <c r="E397" s="38">
        <v>39</v>
      </c>
      <c r="F397" s="38" t="s">
        <v>682</v>
      </c>
      <c r="G397" s="38" t="s">
        <v>683</v>
      </c>
      <c r="H397" s="39">
        <v>43048</v>
      </c>
      <c r="I397" s="38">
        <v>46</v>
      </c>
      <c r="J397" s="38" t="s">
        <v>56</v>
      </c>
      <c r="K397" s="38" t="s">
        <v>57</v>
      </c>
      <c r="L397" s="38" t="s">
        <v>58</v>
      </c>
      <c r="M397" s="38">
        <v>0.60699999999999998</v>
      </c>
      <c r="N397" s="38">
        <v>0.82899999999999996</v>
      </c>
      <c r="O397" s="38">
        <v>-5.0199999999999996</v>
      </c>
      <c r="P397" s="38">
        <v>5.8700000000000002E-2</v>
      </c>
      <c r="Q397" s="38">
        <v>8.0500000000000002E-2</v>
      </c>
      <c r="R397" s="38">
        <v>0</v>
      </c>
      <c r="S397" s="38">
        <v>0.20699999999999999</v>
      </c>
      <c r="T397" s="38">
        <v>0.52100000000000002</v>
      </c>
    </row>
    <row r="398" spans="1:20" x14ac:dyDescent="0.15">
      <c r="A398" s="36" t="s">
        <v>758</v>
      </c>
      <c r="B398" s="37" t="s">
        <v>759</v>
      </c>
      <c r="C398" s="38">
        <v>256040</v>
      </c>
      <c r="D398" s="38" t="b">
        <v>0</v>
      </c>
      <c r="E398" s="38">
        <v>40</v>
      </c>
      <c r="F398" s="38" t="s">
        <v>682</v>
      </c>
      <c r="G398" s="38" t="s">
        <v>683</v>
      </c>
      <c r="H398" s="39">
        <v>43048</v>
      </c>
      <c r="I398" s="38">
        <v>46</v>
      </c>
      <c r="J398" s="38" t="s">
        <v>56</v>
      </c>
      <c r="K398" s="38" t="s">
        <v>57</v>
      </c>
      <c r="L398" s="38" t="s">
        <v>58</v>
      </c>
      <c r="M398" s="38">
        <v>0.84299999999999997</v>
      </c>
      <c r="N398" s="38">
        <v>0.54100000000000004</v>
      </c>
      <c r="O398" s="38">
        <v>-7.3609999999999998</v>
      </c>
      <c r="P398" s="38">
        <v>3.1800000000000002E-2</v>
      </c>
      <c r="Q398" s="38">
        <v>0.191</v>
      </c>
      <c r="R398" s="38">
        <v>1.9300000000000002E-6</v>
      </c>
      <c r="S398" s="38">
        <v>0.108</v>
      </c>
      <c r="T398" s="38">
        <v>0.83899999999999997</v>
      </c>
    </row>
    <row r="399" spans="1:20" x14ac:dyDescent="0.15">
      <c r="A399" s="36" t="s">
        <v>760</v>
      </c>
      <c r="B399" s="37" t="s">
        <v>761</v>
      </c>
      <c r="C399" s="38">
        <v>243346</v>
      </c>
      <c r="D399" s="38" t="b">
        <v>0</v>
      </c>
      <c r="E399" s="38">
        <v>41</v>
      </c>
      <c r="F399" s="38" t="s">
        <v>682</v>
      </c>
      <c r="G399" s="38" t="s">
        <v>683</v>
      </c>
      <c r="H399" s="39">
        <v>43048</v>
      </c>
      <c r="I399" s="38">
        <v>46</v>
      </c>
      <c r="J399" s="38" t="s">
        <v>56</v>
      </c>
      <c r="K399" s="38" t="s">
        <v>57</v>
      </c>
      <c r="L399" s="38" t="s">
        <v>58</v>
      </c>
      <c r="M399" s="38">
        <v>0.71199999999999997</v>
      </c>
      <c r="N399" s="38">
        <v>0.60299999999999998</v>
      </c>
      <c r="O399" s="38">
        <v>-3.7530000000000001</v>
      </c>
      <c r="P399" s="38">
        <v>3.04E-2</v>
      </c>
      <c r="Q399" s="38">
        <v>9.9099999999999994E-2</v>
      </c>
      <c r="R399" s="38">
        <v>0</v>
      </c>
      <c r="S399" s="38">
        <v>0.10199999999999999</v>
      </c>
      <c r="T399" s="38">
        <v>0.71399999999999997</v>
      </c>
    </row>
    <row r="400" spans="1:20" x14ac:dyDescent="0.15">
      <c r="A400" s="36" t="s">
        <v>762</v>
      </c>
      <c r="B400" s="37" t="s">
        <v>763</v>
      </c>
      <c r="C400" s="38">
        <v>245560</v>
      </c>
      <c r="D400" s="38" t="b">
        <v>0</v>
      </c>
      <c r="E400" s="38">
        <v>42</v>
      </c>
      <c r="F400" s="38" t="s">
        <v>682</v>
      </c>
      <c r="G400" s="38" t="s">
        <v>683</v>
      </c>
      <c r="H400" s="39">
        <v>43048</v>
      </c>
      <c r="I400" s="38">
        <v>46</v>
      </c>
      <c r="J400" s="38" t="s">
        <v>56</v>
      </c>
      <c r="K400" s="38" t="s">
        <v>57</v>
      </c>
      <c r="L400" s="38" t="s">
        <v>58</v>
      </c>
      <c r="M400" s="38">
        <v>0.42199999999999999</v>
      </c>
      <c r="N400" s="38">
        <v>0.69199999999999995</v>
      </c>
      <c r="O400" s="38">
        <v>-5.4470000000000001</v>
      </c>
      <c r="P400" s="38">
        <v>5.4899999999999997E-2</v>
      </c>
      <c r="Q400" s="38">
        <v>4.9299999999999997E-2</v>
      </c>
      <c r="R400" s="38">
        <v>2.5700000000000001E-5</v>
      </c>
      <c r="S400" s="38">
        <v>0.17699999999999999</v>
      </c>
      <c r="T400" s="38">
        <v>0.19700000000000001</v>
      </c>
    </row>
    <row r="401" spans="1:20" x14ac:dyDescent="0.15">
      <c r="A401" s="36" t="s">
        <v>764</v>
      </c>
      <c r="B401" s="37" t="s">
        <v>765</v>
      </c>
      <c r="C401" s="38">
        <v>235400</v>
      </c>
      <c r="D401" s="38" t="b">
        <v>0</v>
      </c>
      <c r="E401" s="38">
        <v>43</v>
      </c>
      <c r="F401" s="38" t="s">
        <v>682</v>
      </c>
      <c r="G401" s="38" t="s">
        <v>683</v>
      </c>
      <c r="H401" s="39">
        <v>43048</v>
      </c>
      <c r="I401" s="38">
        <v>46</v>
      </c>
      <c r="J401" s="38" t="s">
        <v>56</v>
      </c>
      <c r="K401" s="38" t="s">
        <v>57</v>
      </c>
      <c r="L401" s="38" t="s">
        <v>58</v>
      </c>
      <c r="M401" s="38">
        <v>0.57799999999999996</v>
      </c>
      <c r="N401" s="38">
        <v>0.34799999999999998</v>
      </c>
      <c r="O401" s="38">
        <v>-8.0660000000000007</v>
      </c>
      <c r="P401" s="38">
        <v>2.5700000000000001E-2</v>
      </c>
      <c r="Q401" s="38">
        <v>0.311</v>
      </c>
      <c r="R401" s="38">
        <v>0</v>
      </c>
      <c r="S401" s="38">
        <v>0.1</v>
      </c>
      <c r="T401" s="38">
        <v>0.218</v>
      </c>
    </row>
    <row r="402" spans="1:20" x14ac:dyDescent="0.15">
      <c r="A402" s="36" t="s">
        <v>766</v>
      </c>
      <c r="B402" s="37" t="s">
        <v>767</v>
      </c>
      <c r="C402" s="38">
        <v>215600</v>
      </c>
      <c r="D402" s="38" t="b">
        <v>0</v>
      </c>
      <c r="E402" s="38">
        <v>44</v>
      </c>
      <c r="F402" s="38" t="s">
        <v>682</v>
      </c>
      <c r="G402" s="38" t="s">
        <v>683</v>
      </c>
      <c r="H402" s="39">
        <v>43048</v>
      </c>
      <c r="I402" s="38">
        <v>46</v>
      </c>
      <c r="J402" s="38" t="s">
        <v>56</v>
      </c>
      <c r="K402" s="38" t="s">
        <v>57</v>
      </c>
      <c r="L402" s="38" t="s">
        <v>58</v>
      </c>
      <c r="M402" s="38">
        <v>0.55600000000000005</v>
      </c>
      <c r="N402" s="38">
        <v>0.93300000000000005</v>
      </c>
      <c r="O402" s="38">
        <v>-3.6850000000000001</v>
      </c>
      <c r="P402" s="38">
        <v>7.1900000000000006E-2</v>
      </c>
      <c r="Q402" s="38">
        <v>4.5399999999999998E-3</v>
      </c>
      <c r="R402" s="38">
        <v>4.6200000000000001E-4</v>
      </c>
      <c r="S402" s="38">
        <v>0.10100000000000001</v>
      </c>
      <c r="T402" s="38">
        <v>0.52100000000000002</v>
      </c>
    </row>
    <row r="403" spans="1:20" x14ac:dyDescent="0.15">
      <c r="A403" s="36" t="s">
        <v>768</v>
      </c>
      <c r="B403" s="37" t="s">
        <v>769</v>
      </c>
      <c r="C403" s="38">
        <v>220600</v>
      </c>
      <c r="D403" s="38" t="b">
        <v>0</v>
      </c>
      <c r="E403" s="38">
        <v>45</v>
      </c>
      <c r="F403" s="38" t="s">
        <v>682</v>
      </c>
      <c r="G403" s="38" t="s">
        <v>683</v>
      </c>
      <c r="H403" s="39">
        <v>43048</v>
      </c>
      <c r="I403" s="38">
        <v>46</v>
      </c>
      <c r="J403" s="38" t="s">
        <v>56</v>
      </c>
      <c r="K403" s="38" t="s">
        <v>57</v>
      </c>
      <c r="L403" s="38" t="s">
        <v>58</v>
      </c>
      <c r="M403" s="38">
        <v>0.64900000000000002</v>
      </c>
      <c r="N403" s="38">
        <v>0.77900000000000003</v>
      </c>
      <c r="O403" s="38">
        <v>-5.798</v>
      </c>
      <c r="P403" s="38">
        <v>3.9100000000000003E-2</v>
      </c>
      <c r="Q403" s="38">
        <v>1.8599999999999998E-2</v>
      </c>
      <c r="R403" s="38">
        <v>4.7399999999999997E-4</v>
      </c>
      <c r="S403" s="38">
        <v>0.23400000000000001</v>
      </c>
      <c r="T403" s="38">
        <v>0.61699999999999999</v>
      </c>
    </row>
    <row r="404" spans="1:20" x14ac:dyDescent="0.15">
      <c r="A404" s="36" t="s">
        <v>770</v>
      </c>
      <c r="B404" s="37" t="s">
        <v>771</v>
      </c>
      <c r="C404" s="38">
        <v>195706</v>
      </c>
      <c r="D404" s="38" t="b">
        <v>0</v>
      </c>
      <c r="E404" s="38">
        <v>46</v>
      </c>
      <c r="F404" s="38" t="s">
        <v>682</v>
      </c>
      <c r="G404" s="38" t="s">
        <v>683</v>
      </c>
      <c r="H404" s="39">
        <v>43048</v>
      </c>
      <c r="I404" s="38">
        <v>46</v>
      </c>
      <c r="J404" s="38" t="s">
        <v>56</v>
      </c>
      <c r="K404" s="38" t="s">
        <v>57</v>
      </c>
      <c r="L404" s="38" t="s">
        <v>58</v>
      </c>
      <c r="M404" s="38">
        <v>0.60299999999999998</v>
      </c>
      <c r="N404" s="38">
        <v>0.755</v>
      </c>
      <c r="O404" s="38">
        <v>-4.9909999999999997</v>
      </c>
      <c r="P404" s="38">
        <v>7.0900000000000005E-2</v>
      </c>
      <c r="Q404" s="38">
        <v>0.24299999999999999</v>
      </c>
      <c r="R404" s="38">
        <v>0</v>
      </c>
      <c r="S404" s="38">
        <v>0.17799999999999999</v>
      </c>
      <c r="T404" s="38">
        <v>0.496</v>
      </c>
    </row>
    <row r="405" spans="1:20" x14ac:dyDescent="0.15">
      <c r="A405" s="36" t="s">
        <v>722</v>
      </c>
      <c r="B405" s="37" t="s">
        <v>772</v>
      </c>
      <c r="C405" s="38">
        <v>212600</v>
      </c>
      <c r="D405" s="38" t="b">
        <v>0</v>
      </c>
      <c r="E405" s="38">
        <v>1</v>
      </c>
      <c r="F405" s="38" t="s">
        <v>773</v>
      </c>
      <c r="G405" s="38" t="s">
        <v>774</v>
      </c>
      <c r="H405" s="39">
        <v>41939</v>
      </c>
      <c r="I405" s="38">
        <v>19</v>
      </c>
      <c r="J405" s="38" t="s">
        <v>56</v>
      </c>
      <c r="K405" s="38" t="s">
        <v>57</v>
      </c>
      <c r="L405" s="38" t="s">
        <v>58</v>
      </c>
      <c r="M405" s="38">
        <v>0.78900000000000003</v>
      </c>
      <c r="N405" s="38">
        <v>0.63400000000000001</v>
      </c>
      <c r="O405" s="38">
        <v>-4.7619999999999996</v>
      </c>
      <c r="P405" s="38">
        <v>3.2300000000000002E-2</v>
      </c>
      <c r="Q405" s="38">
        <v>3.4799999999999998E-2</v>
      </c>
      <c r="R405" s="38">
        <v>1.64E-6</v>
      </c>
      <c r="S405" s="38">
        <v>0.30199999999999999</v>
      </c>
      <c r="T405" s="38">
        <v>0.65800000000000003</v>
      </c>
    </row>
    <row r="406" spans="1:20" x14ac:dyDescent="0.15">
      <c r="A406" s="36" t="s">
        <v>775</v>
      </c>
      <c r="B406" s="37" t="s">
        <v>776</v>
      </c>
      <c r="C406" s="38">
        <v>231826</v>
      </c>
      <c r="D406" s="38" t="b">
        <v>0</v>
      </c>
      <c r="E406" s="38">
        <v>2</v>
      </c>
      <c r="F406" s="38" t="s">
        <v>773</v>
      </c>
      <c r="G406" s="38" t="s">
        <v>774</v>
      </c>
      <c r="H406" s="39">
        <v>41939</v>
      </c>
      <c r="I406" s="38">
        <v>19</v>
      </c>
      <c r="J406" s="38" t="s">
        <v>56</v>
      </c>
      <c r="K406" s="38" t="s">
        <v>57</v>
      </c>
      <c r="L406" s="38" t="s">
        <v>58</v>
      </c>
      <c r="M406" s="38">
        <v>0.76</v>
      </c>
      <c r="N406" s="38">
        <v>0.70299999999999996</v>
      </c>
      <c r="O406" s="38">
        <v>-5.4119999999999999</v>
      </c>
      <c r="P406" s="38">
        <v>5.3999999999999999E-2</v>
      </c>
      <c r="Q406" s="38">
        <v>0.10299999999999999</v>
      </c>
      <c r="R406" s="38">
        <v>0</v>
      </c>
      <c r="S406" s="38">
        <v>9.1300000000000006E-2</v>
      </c>
      <c r="T406" s="38">
        <v>0.56999999999999995</v>
      </c>
    </row>
    <row r="407" spans="1:20" x14ac:dyDescent="0.15">
      <c r="A407" s="36" t="s">
        <v>777</v>
      </c>
      <c r="B407" s="37" t="s">
        <v>778</v>
      </c>
      <c r="C407" s="38">
        <v>231000</v>
      </c>
      <c r="D407" s="38" t="b">
        <v>0</v>
      </c>
      <c r="E407" s="38">
        <v>3</v>
      </c>
      <c r="F407" s="38" t="s">
        <v>773</v>
      </c>
      <c r="G407" s="38" t="s">
        <v>774</v>
      </c>
      <c r="H407" s="39">
        <v>41939</v>
      </c>
      <c r="I407" s="38">
        <v>19</v>
      </c>
      <c r="J407" s="38" t="s">
        <v>56</v>
      </c>
      <c r="K407" s="38" t="s">
        <v>57</v>
      </c>
      <c r="L407" s="38" t="s">
        <v>58</v>
      </c>
      <c r="M407" s="38">
        <v>0.58799999999999997</v>
      </c>
      <c r="N407" s="38">
        <v>0.79100000000000004</v>
      </c>
      <c r="O407" s="38">
        <v>-5.5949999999999998</v>
      </c>
      <c r="P407" s="38">
        <v>4.02E-2</v>
      </c>
      <c r="Q407" s="38">
        <v>2.4499999999999999E-3</v>
      </c>
      <c r="R407" s="38">
        <v>2.5799999999999998E-3</v>
      </c>
      <c r="S407" s="38">
        <v>0.11799999999999999</v>
      </c>
      <c r="T407" s="38">
        <v>0.48699999999999999</v>
      </c>
    </row>
    <row r="408" spans="1:20" x14ac:dyDescent="0.15">
      <c r="A408" s="36" t="s">
        <v>732</v>
      </c>
      <c r="B408" s="37" t="s">
        <v>779</v>
      </c>
      <c r="C408" s="38">
        <v>235800</v>
      </c>
      <c r="D408" s="38" t="b">
        <v>0</v>
      </c>
      <c r="E408" s="38">
        <v>4</v>
      </c>
      <c r="F408" s="38" t="s">
        <v>773</v>
      </c>
      <c r="G408" s="38" t="s">
        <v>774</v>
      </c>
      <c r="H408" s="39">
        <v>41939</v>
      </c>
      <c r="I408" s="38">
        <v>19</v>
      </c>
      <c r="J408" s="38" t="s">
        <v>56</v>
      </c>
      <c r="K408" s="38" t="s">
        <v>57</v>
      </c>
      <c r="L408" s="38" t="s">
        <v>58</v>
      </c>
      <c r="M408" s="38">
        <v>0.55300000000000005</v>
      </c>
      <c r="N408" s="38">
        <v>0.84099999999999997</v>
      </c>
      <c r="O408" s="38">
        <v>-6.9370000000000003</v>
      </c>
      <c r="P408" s="38">
        <v>3.9600000000000003E-2</v>
      </c>
      <c r="Q408" s="38">
        <v>7.4299999999999995E-4</v>
      </c>
      <c r="R408" s="38">
        <v>1.19E-5</v>
      </c>
      <c r="S408" s="38">
        <v>0.34100000000000003</v>
      </c>
      <c r="T408" s="38">
        <v>0.33800000000000002</v>
      </c>
    </row>
    <row r="409" spans="1:20" x14ac:dyDescent="0.15">
      <c r="A409" s="36" t="s">
        <v>780</v>
      </c>
      <c r="B409" s="37" t="s">
        <v>781</v>
      </c>
      <c r="C409" s="38">
        <v>193293</v>
      </c>
      <c r="D409" s="38" t="b">
        <v>0</v>
      </c>
      <c r="E409" s="38">
        <v>5</v>
      </c>
      <c r="F409" s="38" t="s">
        <v>773</v>
      </c>
      <c r="G409" s="38" t="s">
        <v>774</v>
      </c>
      <c r="H409" s="39">
        <v>41939</v>
      </c>
      <c r="I409" s="38">
        <v>19</v>
      </c>
      <c r="J409" s="38" t="s">
        <v>56</v>
      </c>
      <c r="K409" s="38" t="s">
        <v>57</v>
      </c>
      <c r="L409" s="38" t="s">
        <v>58</v>
      </c>
      <c r="M409" s="38">
        <v>0.60499999999999998</v>
      </c>
      <c r="N409" s="38">
        <v>0.72499999999999998</v>
      </c>
      <c r="O409" s="38">
        <v>-5.7290000000000001</v>
      </c>
      <c r="P409" s="38">
        <v>3.2300000000000002E-2</v>
      </c>
      <c r="Q409" s="38">
        <v>2.0100000000000001E-3</v>
      </c>
      <c r="R409" s="38">
        <v>2.02E-5</v>
      </c>
      <c r="S409" s="38">
        <v>0.10100000000000001</v>
      </c>
      <c r="T409" s="38">
        <v>0.53900000000000003</v>
      </c>
    </row>
    <row r="410" spans="1:20" x14ac:dyDescent="0.15">
      <c r="A410" s="36" t="s">
        <v>782</v>
      </c>
      <c r="B410" s="37" t="s">
        <v>783</v>
      </c>
      <c r="C410" s="38">
        <v>219200</v>
      </c>
      <c r="D410" s="38" t="b">
        <v>0</v>
      </c>
      <c r="E410" s="38">
        <v>6</v>
      </c>
      <c r="F410" s="38" t="s">
        <v>773</v>
      </c>
      <c r="G410" s="38" t="s">
        <v>774</v>
      </c>
      <c r="H410" s="39">
        <v>41939</v>
      </c>
      <c r="I410" s="38">
        <v>19</v>
      </c>
      <c r="J410" s="38" t="s">
        <v>56</v>
      </c>
      <c r="K410" s="38" t="s">
        <v>57</v>
      </c>
      <c r="L410" s="38" t="s">
        <v>58</v>
      </c>
      <c r="M410" s="38">
        <v>0.64700000000000002</v>
      </c>
      <c r="N410" s="38">
        <v>0.8</v>
      </c>
      <c r="O410" s="38">
        <v>-5.3840000000000003</v>
      </c>
      <c r="P410" s="38">
        <v>0.16500000000000001</v>
      </c>
      <c r="Q410" s="38">
        <v>6.4699999999999994E-2</v>
      </c>
      <c r="R410" s="38">
        <v>0</v>
      </c>
      <c r="S410" s="38">
        <v>0.33400000000000002</v>
      </c>
      <c r="T410" s="38">
        <v>0.94199999999999995</v>
      </c>
    </row>
    <row r="411" spans="1:20" x14ac:dyDescent="0.15">
      <c r="A411" s="36" t="s">
        <v>784</v>
      </c>
      <c r="B411" s="37" t="s">
        <v>785</v>
      </c>
      <c r="C411" s="38">
        <v>207440</v>
      </c>
      <c r="D411" s="38" t="b">
        <v>0</v>
      </c>
      <c r="E411" s="38">
        <v>7</v>
      </c>
      <c r="F411" s="38" t="s">
        <v>773</v>
      </c>
      <c r="G411" s="38" t="s">
        <v>774</v>
      </c>
      <c r="H411" s="39">
        <v>41939</v>
      </c>
      <c r="I411" s="38">
        <v>19</v>
      </c>
      <c r="J411" s="38" t="s">
        <v>56</v>
      </c>
      <c r="K411" s="38" t="s">
        <v>57</v>
      </c>
      <c r="L411" s="38" t="s">
        <v>58</v>
      </c>
      <c r="M411" s="38">
        <v>0.65300000000000002</v>
      </c>
      <c r="N411" s="38">
        <v>0.89300000000000002</v>
      </c>
      <c r="O411" s="38">
        <v>-5.9660000000000002</v>
      </c>
      <c r="P411" s="38">
        <v>5.3800000000000001E-2</v>
      </c>
      <c r="Q411" s="38">
        <v>1.5800000000000002E-2</v>
      </c>
      <c r="R411" s="38">
        <v>4.9499999999999997E-5</v>
      </c>
      <c r="S411" s="38">
        <v>0.10199999999999999</v>
      </c>
      <c r="T411" s="38">
        <v>0.51300000000000001</v>
      </c>
    </row>
    <row r="412" spans="1:20" x14ac:dyDescent="0.15">
      <c r="A412" s="36" t="s">
        <v>786</v>
      </c>
      <c r="B412" s="37" t="s">
        <v>787</v>
      </c>
      <c r="C412" s="38">
        <v>211933</v>
      </c>
      <c r="D412" s="38" t="b">
        <v>0</v>
      </c>
      <c r="E412" s="38">
        <v>8</v>
      </c>
      <c r="F412" s="38" t="s">
        <v>773</v>
      </c>
      <c r="G412" s="38" t="s">
        <v>774</v>
      </c>
      <c r="H412" s="39">
        <v>41939</v>
      </c>
      <c r="I412" s="38">
        <v>19</v>
      </c>
      <c r="J412" s="38" t="s">
        <v>56</v>
      </c>
      <c r="K412" s="38" t="s">
        <v>57</v>
      </c>
      <c r="L412" s="38" t="s">
        <v>58</v>
      </c>
      <c r="M412" s="38">
        <v>0.64600000000000002</v>
      </c>
      <c r="N412" s="38">
        <v>0.79400000000000004</v>
      </c>
      <c r="O412" s="38">
        <v>-6.1040000000000001</v>
      </c>
      <c r="P412" s="38">
        <v>0.19</v>
      </c>
      <c r="Q412" s="38">
        <v>8.8499999999999995E-2</v>
      </c>
      <c r="R412" s="38">
        <v>6.1600000000000003E-6</v>
      </c>
      <c r="S412" s="38">
        <v>0.20100000000000001</v>
      </c>
      <c r="T412" s="38">
        <v>0.28699999999999998</v>
      </c>
    </row>
    <row r="413" spans="1:20" x14ac:dyDescent="0.15">
      <c r="A413" s="36" t="s">
        <v>684</v>
      </c>
      <c r="B413" s="37" t="s">
        <v>788</v>
      </c>
      <c r="C413" s="38">
        <v>220440</v>
      </c>
      <c r="D413" s="38" t="b">
        <v>0</v>
      </c>
      <c r="E413" s="38">
        <v>9</v>
      </c>
      <c r="F413" s="38" t="s">
        <v>773</v>
      </c>
      <c r="G413" s="38" t="s">
        <v>774</v>
      </c>
      <c r="H413" s="39">
        <v>41939</v>
      </c>
      <c r="I413" s="38">
        <v>19</v>
      </c>
      <c r="J413" s="38" t="s">
        <v>56</v>
      </c>
      <c r="K413" s="38" t="s">
        <v>57</v>
      </c>
      <c r="L413" s="38" t="s">
        <v>58</v>
      </c>
      <c r="M413" s="38">
        <v>0.55000000000000004</v>
      </c>
      <c r="N413" s="38">
        <v>0.68799999999999994</v>
      </c>
      <c r="O413" s="38">
        <v>-7.4160000000000004</v>
      </c>
      <c r="P413" s="38">
        <v>8.9700000000000002E-2</v>
      </c>
      <c r="Q413" s="38">
        <v>6.9199999999999998E-2</v>
      </c>
      <c r="R413" s="38">
        <v>1.4400000000000001E-3</v>
      </c>
      <c r="S413" s="38">
        <v>0.106</v>
      </c>
      <c r="T413" s="38">
        <v>0.46500000000000002</v>
      </c>
    </row>
    <row r="414" spans="1:20" x14ac:dyDescent="0.15">
      <c r="A414" s="36" t="s">
        <v>703</v>
      </c>
      <c r="B414" s="37" t="s">
        <v>789</v>
      </c>
      <c r="C414" s="38">
        <v>247533</v>
      </c>
      <c r="D414" s="38" t="b">
        <v>0</v>
      </c>
      <c r="E414" s="38">
        <v>10</v>
      </c>
      <c r="F414" s="38" t="s">
        <v>773</v>
      </c>
      <c r="G414" s="38" t="s">
        <v>774</v>
      </c>
      <c r="H414" s="39">
        <v>41939</v>
      </c>
      <c r="I414" s="38">
        <v>19</v>
      </c>
      <c r="J414" s="38" t="s">
        <v>56</v>
      </c>
      <c r="K414" s="38" t="s">
        <v>57</v>
      </c>
      <c r="L414" s="38" t="s">
        <v>58</v>
      </c>
      <c r="M414" s="38">
        <v>0.76500000000000001</v>
      </c>
      <c r="N414" s="38">
        <v>0.65600000000000003</v>
      </c>
      <c r="O414" s="38">
        <v>-6.1120000000000001</v>
      </c>
      <c r="P414" s="38">
        <v>5.04E-2</v>
      </c>
      <c r="Q414" s="38">
        <v>3.64E-3</v>
      </c>
      <c r="R414" s="38">
        <v>8.6800000000000002E-3</v>
      </c>
      <c r="S414" s="38">
        <v>9.1800000000000007E-2</v>
      </c>
      <c r="T414" s="38">
        <v>0.54500000000000004</v>
      </c>
    </row>
    <row r="415" spans="1:20" x14ac:dyDescent="0.15">
      <c r="A415" s="36" t="s">
        <v>738</v>
      </c>
      <c r="B415" s="37" t="s">
        <v>790</v>
      </c>
      <c r="C415" s="38">
        <v>250093</v>
      </c>
      <c r="D415" s="38" t="b">
        <v>0</v>
      </c>
      <c r="E415" s="38">
        <v>11</v>
      </c>
      <c r="F415" s="38" t="s">
        <v>773</v>
      </c>
      <c r="G415" s="38" t="s">
        <v>774</v>
      </c>
      <c r="H415" s="39">
        <v>41939</v>
      </c>
      <c r="I415" s="38">
        <v>19</v>
      </c>
      <c r="J415" s="38" t="s">
        <v>56</v>
      </c>
      <c r="K415" s="38" t="s">
        <v>57</v>
      </c>
      <c r="L415" s="38" t="s">
        <v>58</v>
      </c>
      <c r="M415" s="38">
        <v>0.48099999999999998</v>
      </c>
      <c r="N415" s="38">
        <v>0.435</v>
      </c>
      <c r="O415" s="38">
        <v>-8.7949999999999999</v>
      </c>
      <c r="P415" s="38">
        <v>3.2099999999999997E-2</v>
      </c>
      <c r="Q415" s="38">
        <v>0.67800000000000005</v>
      </c>
      <c r="R415" s="38">
        <v>0</v>
      </c>
      <c r="S415" s="38">
        <v>9.2799999999999994E-2</v>
      </c>
      <c r="T415" s="38">
        <v>0.107</v>
      </c>
    </row>
    <row r="416" spans="1:20" x14ac:dyDescent="0.15">
      <c r="A416" s="36" t="s">
        <v>770</v>
      </c>
      <c r="B416" s="37" t="s">
        <v>791</v>
      </c>
      <c r="C416" s="38">
        <v>195706</v>
      </c>
      <c r="D416" s="38" t="b">
        <v>0</v>
      </c>
      <c r="E416" s="38">
        <v>12</v>
      </c>
      <c r="F416" s="38" t="s">
        <v>773</v>
      </c>
      <c r="G416" s="38" t="s">
        <v>774</v>
      </c>
      <c r="H416" s="39">
        <v>41939</v>
      </c>
      <c r="I416" s="38">
        <v>19</v>
      </c>
      <c r="J416" s="38" t="s">
        <v>56</v>
      </c>
      <c r="K416" s="38" t="s">
        <v>57</v>
      </c>
      <c r="L416" s="38" t="s">
        <v>58</v>
      </c>
      <c r="M416" s="38">
        <v>0.60199999999999998</v>
      </c>
      <c r="N416" s="38">
        <v>0.755</v>
      </c>
      <c r="O416" s="38">
        <v>-4.9909999999999997</v>
      </c>
      <c r="P416" s="38">
        <v>7.0999999999999994E-2</v>
      </c>
      <c r="Q416" s="38">
        <v>0.245</v>
      </c>
      <c r="R416" s="38">
        <v>0</v>
      </c>
      <c r="S416" s="38">
        <v>0.17799999999999999</v>
      </c>
      <c r="T416" s="38">
        <v>0.495</v>
      </c>
    </row>
    <row r="417" spans="1:20" x14ac:dyDescent="0.15">
      <c r="A417" s="36" t="s">
        <v>792</v>
      </c>
      <c r="B417" s="37" t="s">
        <v>793</v>
      </c>
      <c r="C417" s="38">
        <v>271000</v>
      </c>
      <c r="D417" s="38" t="b">
        <v>0</v>
      </c>
      <c r="E417" s="38">
        <v>13</v>
      </c>
      <c r="F417" s="38" t="s">
        <v>773</v>
      </c>
      <c r="G417" s="38" t="s">
        <v>774</v>
      </c>
      <c r="H417" s="39">
        <v>41939</v>
      </c>
      <c r="I417" s="38">
        <v>19</v>
      </c>
      <c r="J417" s="38" t="s">
        <v>56</v>
      </c>
      <c r="K417" s="38" t="s">
        <v>57</v>
      </c>
      <c r="L417" s="38" t="s">
        <v>58</v>
      </c>
      <c r="M417" s="38">
        <v>0.81499999999999995</v>
      </c>
      <c r="N417" s="38">
        <v>0.377</v>
      </c>
      <c r="O417" s="38">
        <v>-7.7539999999999996</v>
      </c>
      <c r="P417" s="38">
        <v>3.4599999999999999E-2</v>
      </c>
      <c r="Q417" s="38">
        <v>0.23200000000000001</v>
      </c>
      <c r="R417" s="38">
        <v>0</v>
      </c>
      <c r="S417" s="38">
        <v>0.1</v>
      </c>
      <c r="T417" s="38">
        <v>0.21099999999999999</v>
      </c>
    </row>
    <row r="418" spans="1:20" x14ac:dyDescent="0.15">
      <c r="A418" s="36" t="s">
        <v>762</v>
      </c>
      <c r="B418" s="37" t="s">
        <v>794</v>
      </c>
      <c r="C418" s="38">
        <v>245560</v>
      </c>
      <c r="D418" s="38" t="b">
        <v>0</v>
      </c>
      <c r="E418" s="38">
        <v>14</v>
      </c>
      <c r="F418" s="38" t="s">
        <v>773</v>
      </c>
      <c r="G418" s="38" t="s">
        <v>774</v>
      </c>
      <c r="H418" s="39">
        <v>41939</v>
      </c>
      <c r="I418" s="38">
        <v>19</v>
      </c>
      <c r="J418" s="38" t="s">
        <v>56</v>
      </c>
      <c r="K418" s="38" t="s">
        <v>57</v>
      </c>
      <c r="L418" s="38" t="s">
        <v>58</v>
      </c>
      <c r="M418" s="38">
        <v>0.42199999999999999</v>
      </c>
      <c r="N418" s="38">
        <v>0.69199999999999995</v>
      </c>
      <c r="O418" s="38">
        <v>-5.4470000000000001</v>
      </c>
      <c r="P418" s="38">
        <v>5.4899999999999997E-2</v>
      </c>
      <c r="Q418" s="38">
        <v>4.9299999999999997E-2</v>
      </c>
      <c r="R418" s="38">
        <v>2.5700000000000001E-5</v>
      </c>
      <c r="S418" s="38">
        <v>0.17699999999999999</v>
      </c>
      <c r="T418" s="38">
        <v>0.19700000000000001</v>
      </c>
    </row>
    <row r="419" spans="1:20" x14ac:dyDescent="0.15">
      <c r="A419" s="36" t="s">
        <v>795</v>
      </c>
      <c r="B419" s="37" t="s">
        <v>796</v>
      </c>
      <c r="C419" s="38">
        <v>267106</v>
      </c>
      <c r="D419" s="38" t="b">
        <v>0</v>
      </c>
      <c r="E419" s="38">
        <v>15</v>
      </c>
      <c r="F419" s="38" t="s">
        <v>773</v>
      </c>
      <c r="G419" s="38" t="s">
        <v>774</v>
      </c>
      <c r="H419" s="39">
        <v>41939</v>
      </c>
      <c r="I419" s="38">
        <v>19</v>
      </c>
      <c r="J419" s="38" t="s">
        <v>56</v>
      </c>
      <c r="K419" s="38" t="s">
        <v>57</v>
      </c>
      <c r="L419" s="38" t="s">
        <v>58</v>
      </c>
      <c r="M419" s="38">
        <v>0.47399999999999998</v>
      </c>
      <c r="N419" s="38">
        <v>0.48</v>
      </c>
      <c r="O419" s="38">
        <v>-8.8940000000000001</v>
      </c>
      <c r="P419" s="38">
        <v>6.2199999999999998E-2</v>
      </c>
      <c r="Q419" s="38">
        <v>0.70699999999999996</v>
      </c>
      <c r="R419" s="38">
        <v>1.08E-4</v>
      </c>
      <c r="S419" s="38">
        <v>9.0300000000000005E-2</v>
      </c>
      <c r="T419" s="38">
        <v>0.31900000000000001</v>
      </c>
    </row>
    <row r="420" spans="1:20" x14ac:dyDescent="0.15">
      <c r="A420" s="36" t="s">
        <v>797</v>
      </c>
      <c r="B420" s="37" t="s">
        <v>798</v>
      </c>
      <c r="C420" s="38">
        <v>230466</v>
      </c>
      <c r="D420" s="38" t="b">
        <v>0</v>
      </c>
      <c r="E420" s="38">
        <v>16</v>
      </c>
      <c r="F420" s="38" t="s">
        <v>773</v>
      </c>
      <c r="G420" s="38" t="s">
        <v>774</v>
      </c>
      <c r="H420" s="39">
        <v>41939</v>
      </c>
      <c r="I420" s="38">
        <v>19</v>
      </c>
      <c r="J420" s="38" t="s">
        <v>56</v>
      </c>
      <c r="K420" s="38" t="s">
        <v>57</v>
      </c>
      <c r="L420" s="38" t="s">
        <v>58</v>
      </c>
      <c r="M420" s="38">
        <v>0.63300000000000001</v>
      </c>
      <c r="N420" s="38">
        <v>0.88900000000000001</v>
      </c>
      <c r="O420" s="38">
        <v>-5.87</v>
      </c>
      <c r="P420" s="38">
        <v>7.1499999999999994E-2</v>
      </c>
      <c r="Q420" s="38">
        <v>4.6299999999999996E-3</v>
      </c>
      <c r="R420" s="38">
        <v>4.5800000000000002E-4</v>
      </c>
      <c r="S420" s="38">
        <v>6.5799999999999997E-2</v>
      </c>
      <c r="T420" s="38">
        <v>0.58399999999999996</v>
      </c>
    </row>
    <row r="421" spans="1:20" x14ac:dyDescent="0.15">
      <c r="A421" s="36" t="s">
        <v>799</v>
      </c>
      <c r="B421" s="37" t="s">
        <v>800</v>
      </c>
      <c r="C421" s="38">
        <v>216333</v>
      </c>
      <c r="D421" s="38" t="b">
        <v>0</v>
      </c>
      <c r="E421" s="38">
        <v>17</v>
      </c>
      <c r="F421" s="38" t="s">
        <v>773</v>
      </c>
      <c r="G421" s="38" t="s">
        <v>774</v>
      </c>
      <c r="H421" s="39">
        <v>41939</v>
      </c>
      <c r="I421" s="38">
        <v>19</v>
      </c>
      <c r="J421" s="38" t="s">
        <v>56</v>
      </c>
      <c r="K421" s="38" t="s">
        <v>57</v>
      </c>
      <c r="L421" s="38" t="s">
        <v>58</v>
      </c>
      <c r="M421" s="38">
        <v>0.59199999999999997</v>
      </c>
      <c r="N421" s="38">
        <v>0.128</v>
      </c>
      <c r="O421" s="38">
        <v>-17.931999999999999</v>
      </c>
      <c r="P421" s="38">
        <v>0.58899999999999997</v>
      </c>
      <c r="Q421" s="38">
        <v>0.82899999999999996</v>
      </c>
      <c r="R421" s="38">
        <v>0</v>
      </c>
      <c r="S421" s="38">
        <v>0.52700000000000002</v>
      </c>
      <c r="T421" s="38">
        <v>0.15</v>
      </c>
    </row>
    <row r="422" spans="1:20" x14ac:dyDescent="0.15">
      <c r="A422" s="36" t="s">
        <v>801</v>
      </c>
      <c r="B422" s="37" t="s">
        <v>802</v>
      </c>
      <c r="C422" s="38">
        <v>107133</v>
      </c>
      <c r="D422" s="38" t="b">
        <v>0</v>
      </c>
      <c r="E422" s="38">
        <v>18</v>
      </c>
      <c r="F422" s="38" t="s">
        <v>773</v>
      </c>
      <c r="G422" s="38" t="s">
        <v>774</v>
      </c>
      <c r="H422" s="39">
        <v>41939</v>
      </c>
      <c r="I422" s="38">
        <v>19</v>
      </c>
      <c r="J422" s="38" t="s">
        <v>56</v>
      </c>
      <c r="K422" s="38" t="s">
        <v>57</v>
      </c>
      <c r="L422" s="38" t="s">
        <v>58</v>
      </c>
      <c r="M422" s="38">
        <v>0.78100000000000003</v>
      </c>
      <c r="N422" s="38">
        <v>0.35699999999999998</v>
      </c>
      <c r="O422" s="38">
        <v>-16.393999999999998</v>
      </c>
      <c r="P422" s="38">
        <v>0.91200000000000003</v>
      </c>
      <c r="Q422" s="38">
        <v>0.71699999999999997</v>
      </c>
      <c r="R422" s="38">
        <v>0</v>
      </c>
      <c r="S422" s="38">
        <v>0.185</v>
      </c>
      <c r="T422" s="38">
        <v>0.64500000000000002</v>
      </c>
    </row>
    <row r="423" spans="1:20" x14ac:dyDescent="0.15">
      <c r="A423" s="36" t="s">
        <v>803</v>
      </c>
      <c r="B423" s="37" t="s">
        <v>804</v>
      </c>
      <c r="C423" s="38">
        <v>131186</v>
      </c>
      <c r="D423" s="38" t="b">
        <v>0</v>
      </c>
      <c r="E423" s="38">
        <v>19</v>
      </c>
      <c r="F423" s="38" t="s">
        <v>773</v>
      </c>
      <c r="G423" s="38" t="s">
        <v>774</v>
      </c>
      <c r="H423" s="39">
        <v>41939</v>
      </c>
      <c r="I423" s="38">
        <v>19</v>
      </c>
      <c r="J423" s="38" t="s">
        <v>56</v>
      </c>
      <c r="K423" s="38" t="s">
        <v>57</v>
      </c>
      <c r="L423" s="38" t="s">
        <v>58</v>
      </c>
      <c r="M423" s="38">
        <v>0.67500000000000004</v>
      </c>
      <c r="N423" s="38">
        <v>0.23400000000000001</v>
      </c>
      <c r="O423" s="38">
        <v>-15.064</v>
      </c>
      <c r="P423" s="38">
        <v>0.72099999999999997</v>
      </c>
      <c r="Q423" s="38">
        <v>0.80100000000000005</v>
      </c>
      <c r="R423" s="38">
        <v>0</v>
      </c>
      <c r="S423" s="38">
        <v>0.65700000000000003</v>
      </c>
      <c r="T423" s="38">
        <v>0.57799999999999996</v>
      </c>
    </row>
    <row r="424" spans="1:20" x14ac:dyDescent="0.15">
      <c r="A424" s="36" t="s">
        <v>722</v>
      </c>
      <c r="B424" s="37" t="s">
        <v>805</v>
      </c>
      <c r="C424" s="38">
        <v>212600</v>
      </c>
      <c r="D424" s="38" t="b">
        <v>0</v>
      </c>
      <c r="E424" s="38">
        <v>1</v>
      </c>
      <c r="F424" s="38" t="s">
        <v>806</v>
      </c>
      <c r="G424" s="38">
        <v>1989</v>
      </c>
      <c r="H424" s="39">
        <v>41939</v>
      </c>
      <c r="I424" s="38">
        <v>13</v>
      </c>
      <c r="J424" s="38" t="s">
        <v>56</v>
      </c>
      <c r="K424" s="38" t="s">
        <v>57</v>
      </c>
      <c r="L424" s="38" t="s">
        <v>58</v>
      </c>
      <c r="M424" s="38">
        <v>0.79300000000000004</v>
      </c>
      <c r="N424" s="38">
        <v>0.63400000000000001</v>
      </c>
      <c r="O424" s="38">
        <v>-4.8070000000000004</v>
      </c>
      <c r="P424" s="38">
        <v>3.2399999999999998E-2</v>
      </c>
      <c r="Q424" s="38">
        <v>3.7999999999999999E-2</v>
      </c>
      <c r="R424" s="38">
        <v>1.7600000000000001E-6</v>
      </c>
      <c r="S424" s="38">
        <v>0.30399999999999999</v>
      </c>
      <c r="T424" s="38">
        <v>0.61499999999999999</v>
      </c>
    </row>
    <row r="425" spans="1:20" x14ac:dyDescent="0.15">
      <c r="A425" s="36" t="s">
        <v>775</v>
      </c>
      <c r="B425" s="37" t="s">
        <v>807</v>
      </c>
      <c r="C425" s="38">
        <v>231826</v>
      </c>
      <c r="D425" s="38" t="b">
        <v>0</v>
      </c>
      <c r="E425" s="38">
        <v>2</v>
      </c>
      <c r="F425" s="38" t="s">
        <v>806</v>
      </c>
      <c r="G425" s="38">
        <v>1989</v>
      </c>
      <c r="H425" s="39">
        <v>41939</v>
      </c>
      <c r="I425" s="38">
        <v>13</v>
      </c>
      <c r="J425" s="38" t="s">
        <v>56</v>
      </c>
      <c r="K425" s="38" t="s">
        <v>57</v>
      </c>
      <c r="L425" s="38" t="s">
        <v>58</v>
      </c>
      <c r="M425" s="38">
        <v>0.753</v>
      </c>
      <c r="N425" s="38">
        <v>0.67800000000000005</v>
      </c>
      <c r="O425" s="38">
        <v>-5.4210000000000003</v>
      </c>
      <c r="P425" s="38">
        <v>6.4399999999999999E-2</v>
      </c>
      <c r="Q425" s="38">
        <v>8.5000000000000006E-2</v>
      </c>
      <c r="R425" s="38">
        <v>1.64E-6</v>
      </c>
      <c r="S425" s="38">
        <v>0.13</v>
      </c>
      <c r="T425" s="38">
        <v>0.58299999999999996</v>
      </c>
    </row>
    <row r="426" spans="1:20" x14ac:dyDescent="0.15">
      <c r="A426" s="36" t="s">
        <v>777</v>
      </c>
      <c r="B426" s="37" t="s">
        <v>808</v>
      </c>
      <c r="C426" s="38">
        <v>231000</v>
      </c>
      <c r="D426" s="38" t="b">
        <v>0</v>
      </c>
      <c r="E426" s="38">
        <v>3</v>
      </c>
      <c r="F426" s="38" t="s">
        <v>806</v>
      </c>
      <c r="G426" s="38">
        <v>1989</v>
      </c>
      <c r="H426" s="39">
        <v>41939</v>
      </c>
      <c r="I426" s="38">
        <v>13</v>
      </c>
      <c r="J426" s="38" t="s">
        <v>56</v>
      </c>
      <c r="K426" s="38" t="s">
        <v>57</v>
      </c>
      <c r="L426" s="38" t="s">
        <v>58</v>
      </c>
      <c r="M426" s="38">
        <v>0.59799999999999998</v>
      </c>
      <c r="N426" s="38">
        <v>0.78600000000000003</v>
      </c>
      <c r="O426" s="38">
        <v>-5.5720000000000001</v>
      </c>
      <c r="P426" s="38">
        <v>3.8300000000000001E-2</v>
      </c>
      <c r="Q426" s="38">
        <v>2.5300000000000001E-3</v>
      </c>
      <c r="R426" s="38">
        <v>1.6000000000000001E-3</v>
      </c>
      <c r="S426" s="38">
        <v>0.11700000000000001</v>
      </c>
      <c r="T426" s="38">
        <v>0.45600000000000002</v>
      </c>
    </row>
    <row r="427" spans="1:20" x14ac:dyDescent="0.15">
      <c r="A427" s="36" t="s">
        <v>732</v>
      </c>
      <c r="B427" s="37" t="s">
        <v>809</v>
      </c>
      <c r="C427" s="38">
        <v>235800</v>
      </c>
      <c r="D427" s="38" t="b">
        <v>0</v>
      </c>
      <c r="E427" s="38">
        <v>4</v>
      </c>
      <c r="F427" s="38" t="s">
        <v>806</v>
      </c>
      <c r="G427" s="38">
        <v>1989</v>
      </c>
      <c r="H427" s="39">
        <v>41939</v>
      </c>
      <c r="I427" s="38">
        <v>13</v>
      </c>
      <c r="J427" s="38" t="s">
        <v>56</v>
      </c>
      <c r="K427" s="38" t="s">
        <v>57</v>
      </c>
      <c r="L427" s="38" t="s">
        <v>58</v>
      </c>
      <c r="M427" s="38">
        <v>0.55200000000000005</v>
      </c>
      <c r="N427" s="38">
        <v>0.84199999999999997</v>
      </c>
      <c r="O427" s="38">
        <v>-6.9379999999999997</v>
      </c>
      <c r="P427" s="38">
        <v>3.73E-2</v>
      </c>
      <c r="Q427" s="38">
        <v>1.0300000000000001E-3</v>
      </c>
      <c r="R427" s="38">
        <v>1.17E-5</v>
      </c>
      <c r="S427" s="38">
        <v>0.33700000000000002</v>
      </c>
      <c r="T427" s="38">
        <v>0.34300000000000003</v>
      </c>
    </row>
    <row r="428" spans="1:20" x14ac:dyDescent="0.15">
      <c r="A428" s="36" t="s">
        <v>780</v>
      </c>
      <c r="B428" s="37" t="s">
        <v>810</v>
      </c>
      <c r="C428" s="38">
        <v>193293</v>
      </c>
      <c r="D428" s="38" t="b">
        <v>0</v>
      </c>
      <c r="E428" s="38">
        <v>5</v>
      </c>
      <c r="F428" s="38" t="s">
        <v>806</v>
      </c>
      <c r="G428" s="38">
        <v>1989</v>
      </c>
      <c r="H428" s="39">
        <v>41939</v>
      </c>
      <c r="I428" s="38">
        <v>13</v>
      </c>
      <c r="J428" s="38" t="s">
        <v>56</v>
      </c>
      <c r="K428" s="38" t="s">
        <v>57</v>
      </c>
      <c r="L428" s="38" t="s">
        <v>58</v>
      </c>
      <c r="M428" s="38">
        <v>0.60199999999999998</v>
      </c>
      <c r="N428" s="38">
        <v>0.73599999999999999</v>
      </c>
      <c r="O428" s="38">
        <v>-5.7779999999999996</v>
      </c>
      <c r="P428" s="38">
        <v>3.3799999999999997E-2</v>
      </c>
      <c r="Q428" s="38">
        <v>1.9599999999999999E-3</v>
      </c>
      <c r="R428" s="38">
        <v>4.57E-5</v>
      </c>
      <c r="S428" s="38">
        <v>0.105</v>
      </c>
      <c r="T428" s="38">
        <v>0.47099999999999997</v>
      </c>
    </row>
    <row r="429" spans="1:20" x14ac:dyDescent="0.15">
      <c r="A429" s="36" t="s">
        <v>782</v>
      </c>
      <c r="B429" s="37" t="s">
        <v>811</v>
      </c>
      <c r="C429" s="38">
        <v>219200</v>
      </c>
      <c r="D429" s="38" t="b">
        <v>0</v>
      </c>
      <c r="E429" s="38">
        <v>6</v>
      </c>
      <c r="F429" s="38" t="s">
        <v>806</v>
      </c>
      <c r="G429" s="38">
        <v>1989</v>
      </c>
      <c r="H429" s="39">
        <v>41939</v>
      </c>
      <c r="I429" s="38">
        <v>13</v>
      </c>
      <c r="J429" s="38" t="s">
        <v>56</v>
      </c>
      <c r="K429" s="38" t="s">
        <v>57</v>
      </c>
      <c r="L429" s="38" t="s">
        <v>58</v>
      </c>
      <c r="M429" s="38">
        <v>0.64700000000000002</v>
      </c>
      <c r="N429" s="38">
        <v>0.78500000000000003</v>
      </c>
      <c r="O429" s="38">
        <v>-5.4139999999999997</v>
      </c>
      <c r="P429" s="38">
        <v>0.16500000000000001</v>
      </c>
      <c r="Q429" s="38">
        <v>5.6099999999999997E-2</v>
      </c>
      <c r="R429" s="38">
        <v>0</v>
      </c>
      <c r="S429" s="38">
        <v>0.14799999999999999</v>
      </c>
      <c r="T429" s="38">
        <v>0.94299999999999995</v>
      </c>
    </row>
    <row r="430" spans="1:20" x14ac:dyDescent="0.15">
      <c r="A430" s="36" t="s">
        <v>784</v>
      </c>
      <c r="B430" s="37" t="s">
        <v>812</v>
      </c>
      <c r="C430" s="38">
        <v>207440</v>
      </c>
      <c r="D430" s="38" t="b">
        <v>0</v>
      </c>
      <c r="E430" s="38">
        <v>7</v>
      </c>
      <c r="F430" s="38" t="s">
        <v>806</v>
      </c>
      <c r="G430" s="38">
        <v>1989</v>
      </c>
      <c r="H430" s="39">
        <v>41939</v>
      </c>
      <c r="I430" s="38">
        <v>13</v>
      </c>
      <c r="J430" s="38" t="s">
        <v>56</v>
      </c>
      <c r="K430" s="38" t="s">
        <v>57</v>
      </c>
      <c r="L430" s="38" t="s">
        <v>58</v>
      </c>
      <c r="M430" s="38">
        <v>0.64800000000000002</v>
      </c>
      <c r="N430" s="38">
        <v>0.89800000000000002</v>
      </c>
      <c r="O430" s="38">
        <v>-5.9630000000000001</v>
      </c>
      <c r="P430" s="38">
        <v>5.1299999999999998E-2</v>
      </c>
      <c r="Q430" s="38">
        <v>1.6E-2</v>
      </c>
      <c r="R430" s="38">
        <v>9.9099999999999996E-5</v>
      </c>
      <c r="S430" s="38">
        <v>0.109</v>
      </c>
      <c r="T430" s="38">
        <v>0.502</v>
      </c>
    </row>
    <row r="431" spans="1:20" x14ac:dyDescent="0.15">
      <c r="A431" s="36" t="s">
        <v>786</v>
      </c>
      <c r="B431" s="37" t="s">
        <v>813</v>
      </c>
      <c r="C431" s="38">
        <v>211933</v>
      </c>
      <c r="D431" s="38" t="b">
        <v>0</v>
      </c>
      <c r="E431" s="38">
        <v>8</v>
      </c>
      <c r="F431" s="38" t="s">
        <v>806</v>
      </c>
      <c r="G431" s="38">
        <v>1989</v>
      </c>
      <c r="H431" s="39">
        <v>41939</v>
      </c>
      <c r="I431" s="38">
        <v>13</v>
      </c>
      <c r="J431" s="38" t="s">
        <v>56</v>
      </c>
      <c r="K431" s="38" t="s">
        <v>57</v>
      </c>
      <c r="L431" s="38" t="s">
        <v>58</v>
      </c>
      <c r="M431" s="38">
        <v>0.65</v>
      </c>
      <c r="N431" s="38">
        <v>0.80200000000000005</v>
      </c>
      <c r="O431" s="38">
        <v>-6.1139999999999999</v>
      </c>
      <c r="P431" s="38">
        <v>0.18099999999999999</v>
      </c>
      <c r="Q431" s="38">
        <v>8.7099999999999997E-2</v>
      </c>
      <c r="R431" s="38">
        <v>6.5400000000000001E-6</v>
      </c>
      <c r="S431" s="38">
        <v>0.14799999999999999</v>
      </c>
      <c r="T431" s="38">
        <v>0.29499999999999998</v>
      </c>
    </row>
    <row r="432" spans="1:20" x14ac:dyDescent="0.15">
      <c r="A432" s="36" t="s">
        <v>684</v>
      </c>
      <c r="B432" s="37" t="s">
        <v>814</v>
      </c>
      <c r="C432" s="38">
        <v>220440</v>
      </c>
      <c r="D432" s="38" t="b">
        <v>0</v>
      </c>
      <c r="E432" s="38">
        <v>9</v>
      </c>
      <c r="F432" s="38" t="s">
        <v>806</v>
      </c>
      <c r="G432" s="38">
        <v>1989</v>
      </c>
      <c r="H432" s="39">
        <v>41939</v>
      </c>
      <c r="I432" s="38">
        <v>13</v>
      </c>
      <c r="J432" s="38" t="s">
        <v>56</v>
      </c>
      <c r="K432" s="38" t="s">
        <v>57</v>
      </c>
      <c r="L432" s="38" t="s">
        <v>58</v>
      </c>
      <c r="M432" s="38">
        <v>0.55400000000000005</v>
      </c>
      <c r="N432" s="38">
        <v>0.66600000000000004</v>
      </c>
      <c r="O432" s="38">
        <v>-7.4139999999999997</v>
      </c>
      <c r="P432" s="38">
        <v>7.4700000000000003E-2</v>
      </c>
      <c r="Q432" s="38">
        <v>7.0199999999999999E-2</v>
      </c>
      <c r="R432" s="38">
        <v>5.9300000000000004E-3</v>
      </c>
      <c r="S432" s="38">
        <v>0.106</v>
      </c>
      <c r="T432" s="38">
        <v>0.47199999999999998</v>
      </c>
    </row>
    <row r="433" spans="1:20" x14ac:dyDescent="0.15">
      <c r="A433" s="36" t="s">
        <v>703</v>
      </c>
      <c r="B433" s="37" t="s">
        <v>815</v>
      </c>
      <c r="C433" s="38">
        <v>247533</v>
      </c>
      <c r="D433" s="38" t="b">
        <v>0</v>
      </c>
      <c r="E433" s="38">
        <v>10</v>
      </c>
      <c r="F433" s="38" t="s">
        <v>806</v>
      </c>
      <c r="G433" s="38">
        <v>1989</v>
      </c>
      <c r="H433" s="39">
        <v>41939</v>
      </c>
      <c r="I433" s="38">
        <v>13</v>
      </c>
      <c r="J433" s="38" t="s">
        <v>56</v>
      </c>
      <c r="K433" s="38" t="s">
        <v>57</v>
      </c>
      <c r="L433" s="38" t="s">
        <v>58</v>
      </c>
      <c r="M433" s="38">
        <v>0.76400000000000001</v>
      </c>
      <c r="N433" s="38">
        <v>0.66</v>
      </c>
      <c r="O433" s="38">
        <v>-6.1360000000000001</v>
      </c>
      <c r="P433" s="38">
        <v>4.9399999999999999E-2</v>
      </c>
      <c r="Q433" s="38">
        <v>4.6100000000000004E-3</v>
      </c>
      <c r="R433" s="38">
        <v>4.7699999999999999E-3</v>
      </c>
      <c r="S433" s="38">
        <v>9.1499999999999998E-2</v>
      </c>
      <c r="T433" s="38">
        <v>0.52400000000000002</v>
      </c>
    </row>
    <row r="434" spans="1:20" x14ac:dyDescent="0.15">
      <c r="A434" s="36" t="s">
        <v>738</v>
      </c>
      <c r="B434" s="37" t="s">
        <v>816</v>
      </c>
      <c r="C434" s="38">
        <v>250093</v>
      </c>
      <c r="D434" s="38" t="b">
        <v>0</v>
      </c>
      <c r="E434" s="38">
        <v>11</v>
      </c>
      <c r="F434" s="38" t="s">
        <v>806</v>
      </c>
      <c r="G434" s="38">
        <v>1989</v>
      </c>
      <c r="H434" s="39">
        <v>41939</v>
      </c>
      <c r="I434" s="38">
        <v>13</v>
      </c>
      <c r="J434" s="38" t="s">
        <v>56</v>
      </c>
      <c r="K434" s="38" t="s">
        <v>57</v>
      </c>
      <c r="L434" s="38" t="s">
        <v>58</v>
      </c>
      <c r="M434" s="38">
        <v>0.47499999999999998</v>
      </c>
      <c r="N434" s="38">
        <v>0.45900000000000002</v>
      </c>
      <c r="O434" s="38">
        <v>-8.7680000000000007</v>
      </c>
      <c r="P434" s="38">
        <v>3.3300000000000003E-2</v>
      </c>
      <c r="Q434" s="38">
        <v>0.63500000000000001</v>
      </c>
      <c r="R434" s="38">
        <v>0</v>
      </c>
      <c r="S434" s="38">
        <v>0.10100000000000001</v>
      </c>
      <c r="T434" s="38">
        <v>8.2799999999999999E-2</v>
      </c>
    </row>
    <row r="435" spans="1:20" x14ac:dyDescent="0.15">
      <c r="A435" s="36" t="s">
        <v>770</v>
      </c>
      <c r="B435" s="37" t="s">
        <v>817</v>
      </c>
      <c r="C435" s="38">
        <v>195706</v>
      </c>
      <c r="D435" s="38" t="b">
        <v>0</v>
      </c>
      <c r="E435" s="38">
        <v>12</v>
      </c>
      <c r="F435" s="38" t="s">
        <v>806</v>
      </c>
      <c r="G435" s="38">
        <v>1989</v>
      </c>
      <c r="H435" s="39">
        <v>41939</v>
      </c>
      <c r="I435" s="38">
        <v>13</v>
      </c>
      <c r="J435" s="38" t="s">
        <v>56</v>
      </c>
      <c r="K435" s="38" t="s">
        <v>57</v>
      </c>
      <c r="L435" s="38" t="s">
        <v>58</v>
      </c>
      <c r="M435" s="38">
        <v>0.59599999999999997</v>
      </c>
      <c r="N435" s="38">
        <v>0.76300000000000001</v>
      </c>
      <c r="O435" s="38">
        <v>-4.99</v>
      </c>
      <c r="P435" s="38">
        <v>6.6100000000000006E-2</v>
      </c>
      <c r="Q435" s="38">
        <v>0.23100000000000001</v>
      </c>
      <c r="R435" s="38">
        <v>0</v>
      </c>
      <c r="S435" s="38">
        <v>0.2</v>
      </c>
      <c r="T435" s="38">
        <v>0.50700000000000001</v>
      </c>
    </row>
    <row r="436" spans="1:20" x14ac:dyDescent="0.15">
      <c r="A436" s="36" t="s">
        <v>792</v>
      </c>
      <c r="B436" s="37" t="s">
        <v>818</v>
      </c>
      <c r="C436" s="38">
        <v>271000</v>
      </c>
      <c r="D436" s="38" t="b">
        <v>0</v>
      </c>
      <c r="E436" s="38">
        <v>13</v>
      </c>
      <c r="F436" s="38" t="s">
        <v>806</v>
      </c>
      <c r="G436" s="38">
        <v>1989</v>
      </c>
      <c r="H436" s="39">
        <v>41939</v>
      </c>
      <c r="I436" s="38">
        <v>13</v>
      </c>
      <c r="J436" s="38" t="s">
        <v>56</v>
      </c>
      <c r="K436" s="38" t="s">
        <v>57</v>
      </c>
      <c r="L436" s="38" t="s">
        <v>58</v>
      </c>
      <c r="M436" s="38">
        <v>0.81</v>
      </c>
      <c r="N436" s="38">
        <v>0.379</v>
      </c>
      <c r="O436" s="38">
        <v>-7.7709999999999999</v>
      </c>
      <c r="P436" s="38">
        <v>3.49E-2</v>
      </c>
      <c r="Q436" s="38">
        <v>0.24099999999999999</v>
      </c>
      <c r="R436" s="38">
        <v>0</v>
      </c>
      <c r="S436" s="38">
        <v>0.113</v>
      </c>
      <c r="T436" s="38">
        <v>0.22</v>
      </c>
    </row>
  </sheetData>
  <mergeCells count="3">
    <mergeCell ref="A1:T1"/>
    <mergeCell ref="V3:AC3"/>
    <mergeCell ref="AH12:AN2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Conceptual Questions 2 and 6</vt:lpstr>
      <vt:lpstr>Homework Problem 3-1</vt:lpstr>
      <vt:lpstr>Homework Problem 3-2</vt:lpstr>
      <vt:lpstr>My Data (Analysis on Side)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Becker, Emily R</cp:lastModifiedBy>
  <dcterms:created xsi:type="dcterms:W3CDTF">2025-02-03T17:34:18Z</dcterms:created>
  <dcterms:modified xsi:type="dcterms:W3CDTF">2025-02-04T21:55:07Z</dcterms:modified>
</cp:coreProperties>
</file>